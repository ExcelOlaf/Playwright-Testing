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mysite.jci.com/personal/jolatut_jci_com/Documents/"/>
    </mc:Choice>
  </mc:AlternateContent>
  <xr:revisionPtr revIDLastSave="0" documentId="8_{1CFC1119-A27D-46E9-9E75-711EE3926397}" xr6:coauthVersionLast="47" xr6:coauthVersionMax="47" xr10:uidLastSave="{00000000-0000-0000-0000-000000000000}"/>
  <bookViews>
    <workbookView xWindow="7215" yWindow="2055" windowWidth="21600" windowHeight="10995" xr2:uid="{7B38DBAF-5B2A-473A-9622-DB2F583B196C}"/>
  </bookViews>
  <sheets>
    <sheet name="query (8)" sheetId="1" r:id="rId1"/>
    <sheet name="Costs" sheetId="2" r:id="rId2"/>
  </sheets>
  <definedNames>
    <definedName name="_xlnm._FilterDatabase" localSheetId="1" hidden="1">Costs!$A$1:$D$127</definedName>
    <definedName name="query__8" localSheetId="0" hidden="1">'query (8)'!$A$1:$W$142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5" i="2" l="1"/>
  <c r="E120" i="2"/>
  <c r="E116" i="2"/>
  <c r="E114" i="2"/>
  <c r="E112" i="2"/>
  <c r="E111" i="2"/>
  <c r="E109" i="2"/>
  <c r="E108" i="2"/>
  <c r="E107" i="2"/>
  <c r="E106" i="2"/>
  <c r="E104" i="2"/>
  <c r="E103" i="2"/>
  <c r="E102" i="2"/>
  <c r="E97" i="2"/>
  <c r="E96" i="2"/>
  <c r="E94" i="2"/>
  <c r="E91" i="2"/>
  <c r="E88" i="2"/>
  <c r="E87" i="2"/>
  <c r="E86" i="2"/>
  <c r="E77" i="2"/>
  <c r="E76" i="2"/>
  <c r="E74" i="2"/>
  <c r="E68" i="2"/>
  <c r="E65" i="2"/>
  <c r="E61" i="2"/>
  <c r="E60" i="2"/>
  <c r="E57" i="2"/>
  <c r="E54" i="2"/>
  <c r="E53" i="2"/>
  <c r="E52" i="2"/>
  <c r="E51" i="2"/>
  <c r="E50" i="2"/>
  <c r="E47" i="2"/>
  <c r="E45" i="2"/>
  <c r="E37" i="2"/>
  <c r="E34" i="2"/>
  <c r="E33" i="2"/>
  <c r="E32" i="2"/>
  <c r="E31" i="2"/>
  <c r="E27" i="2"/>
  <c r="E25" i="2"/>
  <c r="E22" i="2"/>
  <c r="E21" i="2"/>
  <c r="E17" i="2"/>
  <c r="E16" i="2"/>
  <c r="E7" i="2"/>
  <c r="E5"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DE09F5-685E-4EBF-9D91-B8450DF2BC09}" odcFile="C:\Users\cmelled1\Downloads\query (8).iqy" keepAlive="1" name="query (8)" type="5" refreshedVersion="8" minRefreshableVersion="3" saveData="1">
    <dbPr connection="Provider=Microsoft.Office.List.OLEDB.2.0;Data Source=&quot;&quot;;ApplicationName=Excel;Version=12.0.0.0" command="&lt;LIST&gt;&lt;VIEWGUID&gt;95E1C6B8-81C4-46F1-A268-9EF7769A98D4&lt;/VIEWGUID&gt;&lt;LISTNAME&gt;0dae0916-69b8-4ad1-9d77-1212c2d1582f&lt;/LISTNAME&gt;&lt;LISTWEB&gt;https://apps.jci.com/sites/FinOps-SRECommitmentBaseline/_vti_bin&lt;/LISTWEB&gt;&lt;LISTSUBWEB&gt;&lt;/LISTSUBWEB&gt;&lt;ROOTFOLDER&gt;&lt;/ROOTFOLDER&gt;&lt;/LIST&gt;" commandType="5"/>
  </connection>
</connections>
</file>

<file path=xl/sharedStrings.xml><?xml version="1.0" encoding="utf-8"?>
<sst xmlns="http://schemas.openxmlformats.org/spreadsheetml/2006/main" count="1959" uniqueCount="868">
  <si>
    <t>Vendor</t>
  </si>
  <si>
    <t>Purchase Title</t>
  </si>
  <si>
    <t>Type</t>
  </si>
  <si>
    <t>AI Capabilities [Y/N]</t>
  </si>
  <si>
    <t>AI Gov contact</t>
  </si>
  <si>
    <t>User Count</t>
  </si>
  <si>
    <t>Annual $</t>
  </si>
  <si>
    <t>Organization</t>
  </si>
  <si>
    <t>Status</t>
  </si>
  <si>
    <t xml:space="preserve">Owner / Reporter </t>
  </si>
  <si>
    <t>Audit Classification</t>
  </si>
  <si>
    <t>Source Identifier</t>
  </si>
  <si>
    <t>COGS %</t>
  </si>
  <si>
    <t>Software Use</t>
  </si>
  <si>
    <t>Subcategory</t>
  </si>
  <si>
    <t>FY24 Subcategory</t>
  </si>
  <si>
    <t>Cybersecurity Assessment Status</t>
  </si>
  <si>
    <t>ID</t>
  </si>
  <si>
    <t>Justification</t>
  </si>
  <si>
    <t>Software Description</t>
  </si>
  <si>
    <t>Manufacturer URL</t>
  </si>
  <si>
    <t>MSA</t>
  </si>
  <si>
    <t>3Tsoftwarelabs</t>
  </si>
  <si>
    <t>3T DB</t>
  </si>
  <si>
    <t>Yes</t>
  </si>
  <si>
    <t>Kathleen</t>
  </si>
  <si>
    <t>Retail: Sensormatic</t>
  </si>
  <si>
    <t>Active</t>
  </si>
  <si>
    <t>AccuWeather Inc</t>
  </si>
  <si>
    <t>AccuWeather</t>
  </si>
  <si>
    <t>Product</t>
  </si>
  <si>
    <t>yes</t>
  </si>
  <si>
    <t xml:space="preserve">  </t>
  </si>
  <si>
    <t>N/A</t>
  </si>
  <si>
    <t>48064.8</t>
  </si>
  <si>
    <t>Enterprise SaaS</t>
  </si>
  <si>
    <t>Victor Monroy Trujillo</t>
  </si>
  <si>
    <t>Confidential</t>
  </si>
  <si>
    <t>Software Support and Maintenance</t>
  </si>
  <si>
    <t xml:space="preserve">Accuweather is used across OBEM, CEP, others; this is an essential renewal.
Chillers-Services within Connected Chillers and RDR that are dependent on AccuWeather will stop functioning if not renewed.
OB CUP-AccuWeather instance used in production by CUP
</t>
  </si>
  <si>
    <t>Atlassian</t>
  </si>
  <si>
    <t>Advisory Services</t>
  </si>
  <si>
    <t>Services</t>
  </si>
  <si>
    <t>Atlassian use case review</t>
  </si>
  <si>
    <t>73453</t>
  </si>
  <si>
    <t>Jamie Epps</t>
  </si>
  <si>
    <t>SmartBear</t>
  </si>
  <si>
    <t xml:space="preserve">AlertSite UXM </t>
  </si>
  <si>
    <t>Non-Product</t>
  </si>
  <si>
    <t>check (no?)</t>
  </si>
  <si>
    <t>Claudia</t>
  </si>
  <si>
    <t>90097.03167</t>
  </si>
  <si>
    <t>Polaris CI CD</t>
  </si>
  <si>
    <t>Deployment</t>
  </si>
  <si>
    <t>PC Software &amp; Applications</t>
  </si>
  <si>
    <t>Smartbear AlertSite, ReadyAPI and TestComplete will be used to establish the cornerstone of our Software testing framework.</t>
  </si>
  <si>
    <t>Dynatrace synthetic monitors enable you to monitor availability and performance. Whenever a synthetic monitor fails for either an availability or performance issue based on your thresholds, it creates a problem. You can set up problem notification as follows: Specify thresholds.</t>
  </si>
  <si>
    <t>Altium Inc</t>
  </si>
  <si>
    <t>Altium Designer</t>
  </si>
  <si>
    <t>6000</t>
  </si>
  <si>
    <t>Retail</t>
  </si>
  <si>
    <t>Altium Designer is a complete solution for PCB design and documentation, with tools for schematics, layout, simulation, analysis, and collaboration</t>
  </si>
  <si>
    <t>https://www.altium.com/altium-designer</t>
  </si>
  <si>
    <t>Amazon</t>
  </si>
  <si>
    <t>Amazon Web Services</t>
  </si>
  <si>
    <t>ignore</t>
  </si>
  <si>
    <t>AWS is the world’s most comprehensive and broadly adopted cloud platform, offering a wide range of services and solutions for artificial intelligence, data, security, and more</t>
  </si>
  <si>
    <t>https://aws.amazon.com/</t>
  </si>
  <si>
    <t>Anomali</t>
  </si>
  <si>
    <t>224000</t>
  </si>
  <si>
    <t>Anomali is a cloud-native solution that integrates security operations and defense capabilities into one platform.</t>
  </si>
  <si>
    <t>https://www.anomali.com/</t>
  </si>
  <si>
    <t>AntMedia</t>
  </si>
  <si>
    <t>6384</t>
  </si>
  <si>
    <t>Sai Sasank Anaparthi</t>
  </si>
  <si>
    <t>Internal</t>
  </si>
  <si>
    <t>Open Blue Cloud Platform will provide JCI Applications access to stream video feed cameras from customer sites to meet customer use case requirements.  Solution will be made available to multiple JCI applications based on their customer use cases.  First use case is through OBEM for a customer in Singapore. Additional Licenses needed to provide offering to additional environments (US PROD, UAT, QA)</t>
  </si>
  <si>
    <t>Experience ultra-low latency video streaming with Ant Media Server. Our software supports WebRTC, CMAF, HLS, RTMP, and more for your streaming needs.
Video Streaming server software.</t>
  </si>
  <si>
    <t>https://antmedia.io</t>
  </si>
  <si>
    <t>Google</t>
  </si>
  <si>
    <t>Apigee X</t>
  </si>
  <si>
    <t>72000</t>
  </si>
  <si>
    <t>Global Products: Controls</t>
  </si>
  <si>
    <t>Joseph Morris</t>
  </si>
  <si>
    <t>Software As A Service, Data Service</t>
  </si>
  <si>
    <t>IT Software - Cloud Computing</t>
  </si>
  <si>
    <t xml:space="preserve">Address stability issues discovered with Apigee on prem experienced during the security incident </t>
  </si>
  <si>
    <t xml:space="preserve">Api gateway as a PaaS hosted in GCP - Google cloud (replacement for Apigee on prem solution currently in place for SWM) - two options 1 year or 3 year commitment </t>
  </si>
  <si>
    <t>https://www.google.com</t>
  </si>
  <si>
    <t>Microsoft</t>
  </si>
  <si>
    <t>App Center</t>
  </si>
  <si>
    <t>tbd</t>
  </si>
  <si>
    <t>IT Software - PC and Productivity</t>
  </si>
  <si>
    <t>App Center lets you create, test, and deploy apps for various platforms. It helps you build, test, release, and monitor apps for iOS, Android, Windows, React Native, and more.</t>
  </si>
  <si>
    <t>https://appcenter.ms/sign-in?original_url=%2Fapps</t>
  </si>
  <si>
    <t>Arcadia (Urjanet)</t>
  </si>
  <si>
    <t>Arcadia Power</t>
  </si>
  <si>
    <t>114451</t>
  </si>
  <si>
    <t>Robbie Glen Davis</t>
  </si>
  <si>
    <t>IT Software - Procurement</t>
  </si>
  <si>
    <t>In Process</t>
  </si>
  <si>
    <t>Existing OBEM customer reliance and future business expansions.</t>
  </si>
  <si>
    <t xml:space="preserve">Arcadia provide utility bill data processing and aggregation for ingestion into OpenBlue Enterprise Manager. It's used in the Utility Bill Manager, Net Zero Advisor, Energy Manager, and planned for NextGen software. Software package include customer support rep and utility provider credential setup. </t>
  </si>
  <si>
    <t>https://www.arcadia.com/</t>
  </si>
  <si>
    <t>https://apps.jci.com/:b:/r/sites/FinOps-SRECommitmentBaseline/Shared%20Documents/MSA/Arcadia%20Service%20Agreement%20Amendment%202.pdf?csf=1&amp;web=1&amp;e=gBDaH7</t>
  </si>
  <si>
    <t>JFrog</t>
  </si>
  <si>
    <t>Artifactory</t>
  </si>
  <si>
    <t>CI/CD</t>
  </si>
  <si>
    <t>185353.56</t>
  </si>
  <si>
    <t>Jenkins/ Nextgen CD/ Polaris CI CD</t>
  </si>
  <si>
    <t>Core</t>
  </si>
  <si>
    <t>Pending</t>
  </si>
  <si>
    <t>ASSENT INC</t>
  </si>
  <si>
    <t>Assent</t>
  </si>
  <si>
    <t xml:space="preserve">The Assent Supply Chain Sustainability Platform helps you address supply chain risks throughout your global supply chain. </t>
  </si>
  <si>
    <t>https://www.assent.com/home-2024/</t>
  </si>
  <si>
    <t>Atlassian Products</t>
  </si>
  <si>
    <t>732701.2</t>
  </si>
  <si>
    <t>Daniel A Mellenthin</t>
  </si>
  <si>
    <t>Software As a Service, Data Service</t>
  </si>
  <si>
    <t>IT Software - Digital Infrastructure</t>
  </si>
  <si>
    <t>Atlassian offers a portfolio of products for work management, IT service management, agile and DevOps.</t>
  </si>
  <si>
    <t>https://www.atlassian.com/</t>
  </si>
  <si>
    <t>Atlassian Products (Retail)</t>
  </si>
  <si>
    <t>600</t>
  </si>
  <si>
    <t>194215.2667</t>
  </si>
  <si>
    <t>Wallace Phelps</t>
  </si>
  <si>
    <t>All JCI project teams and programs currently use - or are in the process of being migrated to this instance of the Atlassian tools suite. Without renewing the licensing, product development stops.</t>
  </si>
  <si>
    <t>Audio Conferencing and Calling Plan Services</t>
  </si>
  <si>
    <t>use case details</t>
  </si>
  <si>
    <t>4</t>
  </si>
  <si>
    <t>120</t>
  </si>
  <si>
    <t>Kiran Arangale</t>
  </si>
  <si>
    <t>Audio Conferencing enables users to join a Teams meeting from a phone using a Public Switched Telephone Network (PSTN) phone number. Audio Conferencing is sometimes called dial-in conferencing or PSTN conferencing.</t>
  </si>
  <si>
    <t>https://learn.microsoft.com/en-us/microsoftteams/audio-conferencing-in-office-365</t>
  </si>
  <si>
    <t>Vanta Inc</t>
  </si>
  <si>
    <t>Aurelius Enterprise plan</t>
  </si>
  <si>
    <t>15000</t>
  </si>
  <si>
    <t>Aurelius Enterprise offers consultancy services in the domain of enterprise (business and solution) architecture, data architecture, data governance and data analytics for successful Digital, Smart Industry transformations.</t>
  </si>
  <si>
    <t>https://aureliusenterprise.com/about-aurelius-enterprise/</t>
  </si>
  <si>
    <t>Autodesk</t>
  </si>
  <si>
    <t>AutoCAD</t>
  </si>
  <si>
    <t>yes, but not used per Lipphei</t>
  </si>
  <si>
    <t>FM:systems</t>
  </si>
  <si>
    <t>Lipphei Adam</t>
  </si>
  <si>
    <t xml:space="preserve">AutoCAD is a 2D and 3D computer-aided design (CAD) software application developed by Autodesk.[1] It was first released in December 1982 for the CP/M and IBM PC platforms as a desktop app running on microcomputers with internal graphics controllers.[2] </t>
  </si>
  <si>
    <t>https://web.autocad.com/login</t>
  </si>
  <si>
    <t>Aviatrix Systems Inc</t>
  </si>
  <si>
    <t>Aviatrix</t>
  </si>
  <si>
    <t>780050.84</t>
  </si>
  <si>
    <t>Naveen Kumar Kasetty</t>
  </si>
  <si>
    <t>Application and Infra Monitoring</t>
  </si>
  <si>
    <t>IT Software - Digital SRE Tool</t>
  </si>
  <si>
    <t>JCI Standard License Renewal
Aviatrix is part of Polaris v1.0 for OpenBlue: 1) Polaris Dev/QA VPN Appliance, and 2) Polaris Transit Network.  Many design documents can be found on the Global SRE Team site here, including gateway management, controllers, and competitive analysis: [https://apps.jci.com/:f:/r/sites/GlobalSRETeam-DEB-GlobalSRE-Documentation/Shared%20Documents/Global%20SRE%20-%20Documentation/How%20To%27s/Aviatrix?csf=1&amp;web=1&amp;e=NmmfWE|https://apps.jci.com/:f:/r/sites/GlobalSRETeam-DEB-GlobalSRE-Documentation/Shared%20Documents/Global%20SRE%20-%20Documentation/How%20To%27s/Aviatrix?csf=1&amp;web=1&amp;e=NmmfWE] 
From Rich Campero, "Aviatrix is the backbone to the SRE infrastructure transit networking.  Without this all of the SRE environments will not be operational."</t>
  </si>
  <si>
    <t>Aviatrix® secure cloud networking software allows you to easily build your core network backbone, connect gateways in different regions, cloud service providers (CSPs), or data centers, and extend your applications to the edge of your network</t>
  </si>
  <si>
    <t>https://aviatrix.com/</t>
  </si>
  <si>
    <t>AWS</t>
  </si>
  <si>
    <t>2.5</t>
  </si>
  <si>
    <t>Infrastructure Support</t>
  </si>
  <si>
    <t>BACnet International Inc</t>
  </si>
  <si>
    <t>BACnet Platinum Membership</t>
  </si>
  <si>
    <t>Membership</t>
  </si>
  <si>
    <t>IGNORE</t>
  </si>
  <si>
    <t>49180</t>
  </si>
  <si>
    <t>Dale E Held</t>
  </si>
  <si>
    <t>Required to sell products using BACnet operation.</t>
  </si>
  <si>
    <t>Corporate membership in BACnet International provides unique and valuable benefits to manufacturers and service providers in the controls, building automation and energy management industries. Its information services make it easy to keep up with the growth and evolution in the industry and with BACnet technology. BACnet International membership enhances a supplier’s credibility with potential customers and partners while providing a variety of opportunities for exposure and promotion. Corporate membership also gives manufacturers access to deep discounts on product testing, BTL Certification and a variety of third party development tools.</t>
  </si>
  <si>
    <t>https://bacnetinternational.org/corporate/</t>
  </si>
  <si>
    <t>MBS GMBH</t>
  </si>
  <si>
    <t>BACnet Test Framework</t>
  </si>
  <si>
    <t>25766.66667</t>
  </si>
  <si>
    <t>Shirley He</t>
  </si>
  <si>
    <t>These BACnet simulator licenses are used by the BACnet team and UI team to test new BACnet feature, protocol revision updates for BAS controls business, will be an ongoing need as in addition to new BACnet features, BAS needs to stay current to protocol revisions and stay competitive in the building automation control business.</t>
  </si>
  <si>
    <t>BACnet Test Framework
The BACnet Test Framework (BTF) – Is intended to provide script-based testing for BACnet-components.
Covers two licenses:
1) 4-0034, BTF (Light Edition) maintenance contract, license no. 476_14
2) 4-0032, BTF maintenance contract Standard, license no. 482_13</t>
  </si>
  <si>
    <t>https://btl.org/pre-testing-tools/</t>
  </si>
  <si>
    <t>Bitbucket</t>
  </si>
  <si>
    <t>370</t>
  </si>
  <si>
    <t>2520</t>
  </si>
  <si>
    <t>Bitbucket is a Git based code hosting and collaboration tool, built for teams. It integrates with Jira, Trello, and other Atlassian products, and offers built-in CI/CD, security, and deployment features.</t>
  </si>
  <si>
    <t>https://bitbucket.org/product/</t>
  </si>
  <si>
    <t>Cakemail</t>
  </si>
  <si>
    <t>4000</t>
  </si>
  <si>
    <t>Muthukumar Subramaniam</t>
  </si>
  <si>
    <t>Executive Summary :
Cakemail is identified as an alternate tool for Sendgrid in Canada region. Cakemail confirmed the data will reside within Canada for both operations and Support perspective , Approved by CCSA , A/B testing for Email.
Detailed Justification :
Cakemail's Canadian expertise, flexible pricing options, robust deliverability, intuitive interface, and automation capabilities position it as a reliable alternative to SendGrid for effective email marketing campaigns.
Canadian Expertise:
Cakemail brings extensive knowledge and experience specifically tailored to the Canadian market. With a deep understanding of the local landscape, Cakemail provides customized solutions and efficient support, addressing the unique needs of Canadian businesses.
Flexible Pricing Options:
Cakemail offers flexible pricing plans, allowing businesses to find a package that suits their budget and requirements. This flexibility empowers companies to scale their email marketing efforts without financial strain, ensuring cost-effectiveness</t>
  </si>
  <si>
    <t>Cakemail is identified as an alternate tool for Sendgrid in Canada region.
Cakemail's Canadian expertise, flexible pricing options, robust deliverability, intuitive interface, and automation capabilities position it as a reliable alternative to SendGrid for effective email marketing campaigns</t>
  </si>
  <si>
    <t>https://www.cakemail.ca/</t>
  </si>
  <si>
    <t>Teklynx Americas Inc</t>
  </si>
  <si>
    <t>Codesoft</t>
  </si>
  <si>
    <t>20978.62333</t>
  </si>
  <si>
    <t>Duane A Iverson</t>
  </si>
  <si>
    <t>CodeSoft is the core component behind GLMS, required for Controls to produce ship products.</t>
  </si>
  <si>
    <t>CodeSoft Barcode Software is the professional solution for the most complex barcode labeling projects. CodeSoft excels at integrating with user's systems and 3rd party software. The software provides a range of barcode label design features for any project, from easy label designs to general bar coding.</t>
  </si>
  <si>
    <t>https://www.teklynx.com/en/products/label-design-solutions/codesoft</t>
  </si>
  <si>
    <t>Datadog Inc</t>
  </si>
  <si>
    <t>Datadog</t>
  </si>
  <si>
    <t>871034.04</t>
  </si>
  <si>
    <t>Datadog is the observability (monitoring) portion of Polaris V1.0. OpenBlue cannot function without it.</t>
  </si>
  <si>
    <t>Datadog is a monitoring and analytics tool for information technology (IT) and DevOps teams that can be used to determine performance metrics as well as event monitoring for infrastructure and cloud services. The software can monitor services such as servers, databases and tools.</t>
  </si>
  <si>
    <t>http://www.datadoghq.com/</t>
  </si>
  <si>
    <t>https://apps.jci.com/:b:/r/sites/FinOps-SRECommitmentBaseline/Shared%20Documents/MSA/Datadog%20MSA.pdf?csf=1&amp;web=1&amp;e=8oyaze</t>
  </si>
  <si>
    <t>Datadog (Retail)</t>
  </si>
  <si>
    <t>627770</t>
  </si>
  <si>
    <t>Retail: ShopperTrak</t>
  </si>
  <si>
    <t>Sanjeev Hasiza</t>
  </si>
  <si>
    <t>DayPilot</t>
  </si>
  <si>
    <t>DayPilot Pro for JavaScript</t>
  </si>
  <si>
    <t>2400</t>
  </si>
  <si>
    <t>Tousif Khan</t>
  </si>
  <si>
    <t>DayPilot Pro for JavaScript is used for the Metasys program. Metasys UI uses the DayPilot library in User Management and Scheduling features. Requested by Teresa Hutton and Deepak Uppal.</t>
  </si>
  <si>
    <t>Client-side JavaScript library of scheduling web components with support for vanilla JavaScript, Angular, React, and Vue. You can use it with any server-side backend (ASP.NET Core, Java, PHP, NodeJS and others).</t>
  </si>
  <si>
    <t>https://www.daypilot.org/products/</t>
  </si>
  <si>
    <t>NetSPI LLC</t>
  </si>
  <si>
    <t>Deep Dive</t>
  </si>
  <si>
    <t>100000</t>
  </si>
  <si>
    <t>Developer Tools</t>
  </si>
  <si>
    <t>1600</t>
  </si>
  <si>
    <t>ComponentSource</t>
  </si>
  <si>
    <t>DevExtreme Complete</t>
  </si>
  <si>
    <t>1709.98</t>
  </si>
  <si>
    <t>This is a blocker for our upcoming release; this was only recently called out as a blocker.</t>
  </si>
  <si>
    <t>Create High Impact &amp; Responsive Desktop and Mobile Web Apps with Ease
For over 10 years, thousands of teams across the globe have chosen DevExtreme to address end-user requirements, reduce time-to-market, and deliver elegant web apps that amaze.
DevExtreme includes 4 individual product suites, with 80 UI components and integrated development templates/dev tools.</t>
  </si>
  <si>
    <t>https://js.devexpress.com/</t>
  </si>
  <si>
    <t>DigiCert Inc</t>
  </si>
  <si>
    <t>DigiCert (Controls)</t>
  </si>
  <si>
    <t>Certs</t>
  </si>
  <si>
    <t>Security Products And Services</t>
  </si>
  <si>
    <t>This JCI PKI CA will be needed for allowing NextGen Metasys to onboard OpenBlue Cloud</t>
  </si>
  <si>
    <t>NextGen Metasys JCI PKI Production CA provided by DigitCert.</t>
  </si>
  <si>
    <t>https://www.digicert.com</t>
  </si>
  <si>
    <t>https://apps.jci.com/:b:/r/sites/FinOps-SRECommitmentBaseline/Shared%20Documents/MSA/Digicert%20MSA.pdf?csf=1&amp;web=1&amp;e=zWVrMx</t>
  </si>
  <si>
    <t>DigiCert (ES)</t>
  </si>
  <si>
    <t>717</t>
  </si>
  <si>
    <t>Saleem Syed</t>
  </si>
  <si>
    <t>DigiCert (Sensormatic)</t>
  </si>
  <si>
    <t>876.8083408</t>
  </si>
  <si>
    <t>Hassan ElZein</t>
  </si>
  <si>
    <t>DigiCert (ShopperTrak)</t>
  </si>
  <si>
    <t>4815.889407</t>
  </si>
  <si>
    <t>DigiCert is a leading provider of SSL digital certificates, encryption and authentication services.</t>
  </si>
  <si>
    <t>Cisco</t>
  </si>
  <si>
    <t>DUO</t>
  </si>
  <si>
    <t>80</t>
  </si>
  <si>
    <t>7300</t>
  </si>
  <si>
    <t>Security Montoring</t>
  </si>
  <si>
    <t>Network Services</t>
  </si>
  <si>
    <t>IT Communications - Network - CPE</t>
  </si>
  <si>
    <t>JCI - Standard License Renewal</t>
  </si>
  <si>
    <t>Duo Beyond is a zero-trust security platform organizations use to protect on-premises and cloud applications, while securing mobility and device choice for users. Duo Beyond allows you to identify corporate vs. personal devices with easy certificate deployment, block untrusted endpoints, and give your users secure access to internal applications without using VPNs.</t>
  </si>
  <si>
    <t>https://duo.com</t>
  </si>
  <si>
    <t>DUO (ShopperTrak)</t>
  </si>
  <si>
    <t>150</t>
  </si>
  <si>
    <t>5500</t>
  </si>
  <si>
    <t>EMQX</t>
  </si>
  <si>
    <t>75048</t>
  </si>
  <si>
    <t>Priyadarshani Mishra</t>
  </si>
  <si>
    <t>Sparx Systems</t>
  </si>
  <si>
    <t>Enterprise Architect</t>
  </si>
  <si>
    <t>530</t>
  </si>
  <si>
    <t>Allow Metasys product development to continue.</t>
  </si>
  <si>
    <t>Enterprise Architect is a multi-user, graphical tool designed to help your teams build robust and maintainable systems.</t>
  </si>
  <si>
    <t>https://sparxsystems.com/products/ea/</t>
  </si>
  <si>
    <t>Entrust</t>
  </si>
  <si>
    <t>Entrust (Sensormatic)</t>
  </si>
  <si>
    <t>300</t>
  </si>
  <si>
    <t>IT Software - Security</t>
  </si>
  <si>
    <t>Entrust (ShopperTrak)</t>
  </si>
  <si>
    <t>219</t>
  </si>
  <si>
    <t>MyCommerce</t>
  </si>
  <si>
    <t>EVO PDF</t>
  </si>
  <si>
    <t>2360</t>
  </si>
  <si>
    <t>Sameer Karkande</t>
  </si>
  <si>
    <t>Enterprise Manager's feature reporting module will be impacted if the renewal is not done.</t>
  </si>
  <si>
    <t>EVO HTML to PDF Converter for .NET and .NET Core is a library that can be easily integrated and distributed in your ASP.NET and MVC web sites, desktop applications, Windows services and Azure cloud services to convert web pages, HTML strings and streams to PDF, to images or to SVG and to create nicely formatted and easily maintainable PDF reports and documents. The converter has full support for HTML5, CSS3, SVG, Canvas, Web Fonts and JavaScript. Does not require installation or any third party tools</t>
  </si>
  <si>
    <t>https://www.evopdf.com/</t>
  </si>
  <si>
    <t>SkyXoft Technologies Inc</t>
  </si>
  <si>
    <t>Expiration Reminder</t>
  </si>
  <si>
    <t>432</t>
  </si>
  <si>
    <t>Vivek Obilineni</t>
  </si>
  <si>
    <t>Expiration Reminder helps you manage your workforce credentials, such as certifications and licenses, with automated reminders, centralized tracking, and audit-ready reports.</t>
  </si>
  <si>
    <t>https://www.expirationreminder.com/</t>
  </si>
  <si>
    <t>FactSet Research Systems Inc.</t>
  </si>
  <si>
    <t>FactSet</t>
  </si>
  <si>
    <t>30000</t>
  </si>
  <si>
    <t>Figma Inc</t>
  </si>
  <si>
    <t>Figma</t>
  </si>
  <si>
    <t>100</t>
  </si>
  <si>
    <t>102612.3</t>
  </si>
  <si>
    <t>UX</t>
  </si>
  <si>
    <t>Nicole Ann Madison</t>
  </si>
  <si>
    <t>IT Software - Sustainability, kM&amp;A, PMO</t>
  </si>
  <si>
    <t>Figma seems to be an established software tool used by other UX teams.</t>
  </si>
  <si>
    <t>Prototyping tool for UX design team. Figma is a tool for interface designers. It helps create user interfaces. You can design your own icons, create layouts, add animations, and test out designs before publishing them. It conveniently allows for Drag and dropping of images directly into your document.</t>
  </si>
  <si>
    <t>https://www.figma.com/</t>
  </si>
  <si>
    <t>Filestage</t>
  </si>
  <si>
    <t>FileStage</t>
  </si>
  <si>
    <t>4091.88</t>
  </si>
  <si>
    <t>Chris P DeNardis</t>
  </si>
  <si>
    <t>Filestage is the online proofing software for brands and agencies that’s 5x more effective than email. Share files, manage feedback, and track approvals from every department, all in one dashboard.</t>
  </si>
  <si>
    <t>Filestage is an online proofing solution that helps you share, discuss and approve all your files, all in one place. Try it for free today and enjoy a calmer, clearer approval process.</t>
  </si>
  <si>
    <t>https://filestage.io/#:~:text=Filestage%20is%20the%20online%20proofing%20software%20for%20brands%20and</t>
  </si>
  <si>
    <t>FirstEigen</t>
  </si>
  <si>
    <t>135000</t>
  </si>
  <si>
    <t>Steven Newbold</t>
  </si>
  <si>
    <t>Gartner Inc</t>
  </si>
  <si>
    <t>Gartner</t>
  </si>
  <si>
    <t>6601.938518</t>
  </si>
  <si>
    <t>Julius Marchwicki</t>
  </si>
  <si>
    <t>Technical Services: IT</t>
  </si>
  <si>
    <t>Gartner delivers objective research, tools, and advice on various topics, such as finance, cybersecurity, supply chain, and product discovery.</t>
  </si>
  <si>
    <t>https://www.gartner.com/en</t>
  </si>
  <si>
    <t>Broadcom</t>
  </si>
  <si>
    <t>Ghost Solution Suite</t>
  </si>
  <si>
    <t>7.21</t>
  </si>
  <si>
    <t>Alexander Chapovalov</t>
  </si>
  <si>
    <t>Symantec Ghost Solution Suite is a deployment, system management, and computer imaging software solution. With Ghost Solution Suite you can migrate software and migrate client systems to the latest operating system. Symantec's Ghost Solution Suite introduces the Deployment Solution 6.9 console and core capabilities to Symantec Ghost Solution Suite.</t>
  </si>
  <si>
    <t>https://techdocs.broadcom.com/us/en/symantec-security-software/endpoint-security-and-management/ghost-solutions-suite/3-3.html</t>
  </si>
  <si>
    <t>Glassbox</t>
  </si>
  <si>
    <t>134133.65</t>
  </si>
  <si>
    <t>Irina Koitz</t>
  </si>
  <si>
    <t>Several stakeholders including Product management and UX have OKR's to improve user experiences, redesign customer and asset onboarding and implement product analytics
Currently at JCI we are 'kind of blind' when it comes to making data driven decisions. We do not have any insight into usage, analytics or adoption of our products or user journeys
The need for a tool that helps us understand the adoption of current and new features, and help enhance areas of value and sunset underutilized areas is urgent.</t>
  </si>
  <si>
    <t>A Product Analytics tool that provides digital insights. The Platform offers Customer Journey Analytics, Mobile App Analytics, Session Replay, Performance Analytics, Product Analytics, Interaction and Heatmaps, Funnel Analysis, Struggle and Error Analysis Voice of Customer, Digital Record keeping Tagless, Data Capture.</t>
  </si>
  <si>
    <t>https://www.glassbox.com/</t>
  </si>
  <si>
    <t>https://apps.jci.com/:b:/r/sites/FinOps-SRECommitmentBaseline/Shared%20Documents/MSA/Glassbox%20MSA.pdf?csf=1&amp;web=1&amp;e=x3WzY4</t>
  </si>
  <si>
    <t>GoDaddy</t>
  </si>
  <si>
    <t>1399.93</t>
  </si>
  <si>
    <t>Northwoods Software</t>
  </si>
  <si>
    <t>GojS</t>
  </si>
  <si>
    <t>1261.403333</t>
  </si>
  <si>
    <t>Sudipta Ghosh Chowdhury</t>
  </si>
  <si>
    <t>In Cup Simulator we use GoJs library for our drawing tool to create Central Plan Models.
We use GoJs library to create symbols pallet and drawing editor to drag and drop plant and equipment and make connections to create central plant models, further used for simulations.</t>
  </si>
  <si>
    <t xml:space="preserve">GoJS is a library for creating rich and interactive data visualizations for various industries and purposes. </t>
  </si>
  <si>
    <t>https://gojs.net/latest/index.html</t>
  </si>
  <si>
    <t>Google Workspace Business Starter</t>
  </si>
  <si>
    <t>3200</t>
  </si>
  <si>
    <t>Google Workspace Business Starter plan offers custom and secure business email, 100 participant video meetings, 30 GB pooled storage per user, and standard support for $6 USD per user per month.</t>
  </si>
  <si>
    <t>https://workspace.google.com/business/</t>
  </si>
  <si>
    <t>Google Workspace Telecom</t>
  </si>
  <si>
    <t>3500</t>
  </si>
  <si>
    <t>Ontotext USA Inc</t>
  </si>
  <si>
    <t>GraphDB</t>
  </si>
  <si>
    <t>700000</t>
  </si>
  <si>
    <t>Kevin R Gorham</t>
  </si>
  <si>
    <t>IT Software - Engineering &amp; Development</t>
  </si>
  <si>
    <t>GraphDB is used exclusively for Metasys products. Metasys software cannot function without GraphDB.</t>
  </si>
  <si>
    <t>Ontotext GraphDB is a graph database and knowledge discovery tool compliant with RDF and SPARQL and available as a high-availability cluster. Ontotext GraphDB is used in various European research projects.
Graph databases are purpose-built to store and navigate relationships. Relationships are first-class citizens in graph databases, and most of the value of graph databases is derived from these relationships. Graph databases use nodes to store data entities, and edges to store relationships between entities.</t>
  </si>
  <si>
    <t>https://www.ontotext.com/products/graphdb/</t>
  </si>
  <si>
    <t>https://apps.jci.com/:b:/r/sites/FinOps-SRECommitmentBaseline/Shared%20Documents/MSA/Ontotext%20-%20MSA.pdf?csf=1&amp;web=1&amp;e=P3hlgD</t>
  </si>
  <si>
    <t>HeyMarvin</t>
  </si>
  <si>
    <t>37840</t>
  </si>
  <si>
    <t>Jeff Lancaster</t>
  </si>
  <si>
    <t>Moderated interview platform to help streamline data collection, reduction, and analysis. We have no moderated UX tool today and this will be essential to enabler faster research cycles for the re-envisioning OBEM as well as new product work in vertical &amp; mid-market teams – i.e. OB utility Manager, Oil &amp; Gas, etc.</t>
  </si>
  <si>
    <t xml:space="preserve">Marvin is a platform that helps you collect, organize, analyze and share user research with advanced AI. It offers features such as automatic transcription, tagging, video clips, reports etc
</t>
  </si>
  <si>
    <t>https://heymarvin.com/</t>
  </si>
  <si>
    <t>Highsoft</t>
  </si>
  <si>
    <t>HighCharts (GP)</t>
  </si>
  <si>
    <t>10000</t>
  </si>
  <si>
    <t>Rajeev Singh</t>
  </si>
  <si>
    <t>We are using Highcharts to build Admin dashboard for Connected Security product offering. This is currently being used in OBEM, and we are requesting additional licenses (2 x 4 environments) starting with annual license with potential upgrade to perpetual next year.</t>
  </si>
  <si>
    <t>The Only Charting Library You Need. The Highcharts library comes with all the tools you need to create reliable and secure data visualizations.</t>
  </si>
  <si>
    <t>https://www.highcharts.com/</t>
  </si>
  <si>
    <t>HighCharts (OB)</t>
  </si>
  <si>
    <t>28117.51</t>
  </si>
  <si>
    <t>HiveMQ GmbH</t>
  </si>
  <si>
    <t>HiveMQ</t>
  </si>
  <si>
    <t>393696.2784</t>
  </si>
  <si>
    <t>David Duncan</t>
  </si>
  <si>
    <t>Data Management &amp; Storage Software</t>
  </si>
  <si>
    <t>This is the new IoT backbone for all IoT messaging. Without this our gateway devices will not be able to talk to our cloud.</t>
  </si>
  <si>
    <t>HiveMQ is an MQTT broker and a client based messaging platform designed for the fast, efficient and reliable movement of data to and from connected IoT devices. It uses the MQTT protocol for instant, bi-directional push of data between your device and your enterprise systems.</t>
  </si>
  <si>
    <t>https://www.hivemq.com/</t>
  </si>
  <si>
    <t>https://apps.jci.com/:b:/r/sites/FinOps-SRECommitmentBaseline/Shared%20Documents/MSA/HiveMQ%20GmbH%20MSA.pdf?csf=1&amp;web=1&amp;e=fN66q7</t>
  </si>
  <si>
    <t>IAR Systems</t>
  </si>
  <si>
    <t>IAR Workbench</t>
  </si>
  <si>
    <t>90234</t>
  </si>
  <si>
    <t>Kerry McLeod</t>
  </si>
  <si>
    <t>JCI Standard License Renewal. These licenses are used by many development teams in several geographical locations. Without renewal, Metasys product development could not continue.</t>
  </si>
  <si>
    <t>The IAR Embedded Workbench® IDE is a very powerful Integrated Development Environment, that allows you to develop and manage complete embedded application projects. It is a development platform, with all the features you would expect to find in your everyday working place</t>
  </si>
  <si>
    <t>https://www.iar.com/products/architectures/arm/iar-embedded-workbench-for-arm/</t>
  </si>
  <si>
    <t>https://apps.jci.com/:b:/r/sites/FinOps-SRECommitmentBaseline/Shared%20Documents/MSA/IAR%20System%20Software%20Licensing%20Agreement.pdf?csf=1&amp;web=1&amp;e=pYuSM1</t>
  </si>
  <si>
    <t>Duende Software Inc</t>
  </si>
  <si>
    <t>IdentityServer</t>
  </si>
  <si>
    <t>4896.91</t>
  </si>
  <si>
    <t>Identity server is needed for the Metasys Product Family. Must be renewed every year.</t>
  </si>
  <si>
    <t>IdentityServer is an authentication server that implements OpenID Connect (OIDC) and OAuth 2.0 standards for ASP.NET Core. It's designed to provide a common way to authenticate requests to all of your applications, whether they're web, native, mobile, or API endpoints.</t>
  </si>
  <si>
    <t>Informatika Gate / Bosch PA System / Cisco</t>
  </si>
  <si>
    <t>82000</t>
  </si>
  <si>
    <t>Everything is for OpenBlue. It includes
Informatika Gate System - 2 way IM ($25K),
Bosch Public Address System - 2 way IM ($25K),
Cisco IPICS - 1 way IM ($22K).
Annual support: Informatika Gate ($3750), Bosch PA ($3750), Cisco IPICS ($3300).</t>
  </si>
  <si>
    <t xml:space="preserve">Bosch PA systems- Bosch PA systems extensive portfolio enables us to provide you with one-stop solutions that cover the entire signal chain, including loudspeakers, microphones, electronics, and more. 
</t>
  </si>
  <si>
    <t>Infosys</t>
  </si>
  <si>
    <t>IOTech Systems</t>
  </si>
  <si>
    <t>IOTech</t>
  </si>
  <si>
    <t>63333.33333</t>
  </si>
  <si>
    <t>Norman E. Shaw</t>
  </si>
  <si>
    <t>We need to support the current installed base on OBB V2 during the migration to OBB V3, which is expected to extend through this year.</t>
  </si>
  <si>
    <t>IOTech solves the industrial data problem at the edge. Used by the world's leading providers and consumers of industrial edge solutions, IOTech Edge Central makes industrial data easily accessible, actionable, and manageable.</t>
  </si>
  <si>
    <t>https://www.iotechsys.com/</t>
  </si>
  <si>
    <t>https://apps.jci.com/:b:/r/sites/FinOps-SRECommitmentBaseline/Shared%20Documents/MSA/IOTech%20MSA.pdf?csf=1&amp;web=1&amp;e=1X0uCF</t>
  </si>
  <si>
    <t>Iron Software LLC</t>
  </si>
  <si>
    <t xml:space="preserve">IronPdf </t>
  </si>
  <si>
    <t>1298.412</t>
  </si>
  <si>
    <t>Leyla Mousavi</t>
  </si>
  <si>
    <t>Build buy decision
Justification for Buy: Low uniqueness of requirement, low cost of purchase, better capabilities.
Justification for recommendation: Done on basis of following analysis which consisted of areas mentioned below.
Cost-Benefit Analysis: Evaluated cost savings
User Needs Analysis: Gathering user needs, requirements, and preferences.
Risk Analysis: Evaluation of potential risks related to compatibility, security vulnerabilities (Checked CVE reported in products and advisories), future scalability, and ongoing support.
Technical Evaluation: based on technical factors such as compatibility with existing systems, programming language support, performance benchmarks and container support.
Vendor Evaluation: Responsiveness to support requests, availability of documentation and resources, and user community support.
Usability Evaluation: usability testing or evaluations to assess the ease of use and user experience of each PDF framework.</t>
  </si>
  <si>
    <t>C# PDF Library that prioritizes accuracy, ease of use, and speed. IronPDF is the leading C# PDF library for generating &amp; editing PDFs.</t>
  </si>
  <si>
    <t>https://ironsoftware.com/</t>
  </si>
  <si>
    <t>JetBrains</t>
  </si>
  <si>
    <t>20654.35</t>
  </si>
  <si>
    <t>These are important tool to increase developer productivity, used throughout Digital and GP.
ReSharper suggest possible error on the fly so the developer can correct it there itself.  Which indirectly increases development code quality and TAT.
dotUtlimate comes with profiler which helps in finding memory optimization.</t>
  </si>
  <si>
    <t>All Products Pack-10 IDEs. IntelliJ IDEA Ultimate. Java. Kotlin. Groovy. WebStorm. JavaScript, TypeScript. Angular. React. Node.js. Rider. .NET. C# ASP.NET. .NET Core. PyCharm Professional. ...
3 Extensions &amp; 2 Profilers. ReSharper. .NET. C# .NET Core. ASP.NET. ReSharper C++ C/C++ dotCover. .NET. .NET Core. Mono. dotMemory. .NET. .NET Core. Mono
DotUltimate-dotUltimate contains all the JetBrains . NET tools, ReSharper C++, and JetBrains Rider, together in one pack to empower your . NET and Visual Studio development.
Clion-CLion is a C/C++ editor made by Jetbrains that's useful for writing code for various components of Tempered products. We use the ruby-focused IDE made by the same company (Rubymine) to write other components. The key commands and functionality match RubyMine to optimize productivity for our team. It's useful to use a unified suite of software for this instead of using disparate editors. CLion provides excellent editing and smart code-completion.
IntelliJ Idea Ultimate-IntelliJ IDEA Ultimate provides first-class support for leading frameworks and technologies geared toward the development of modern applications and microservices. Your IDE comes with dedicated assistance for Spring and Spring Boot, Jakarta EE, JPA, Reactor, and other frameworks.
RubyMine-RubyMine is an integrated development environment (IDE) that helps you be more productive in every aspect of Ruby/Rails projects development – from writing and debugging code to testing and deploying a completed application. RubyMine is available for different platforms including macOS, Windows, and Linux.</t>
  </si>
  <si>
    <t>https://www.jetbrains.com/</t>
  </si>
  <si>
    <t xml:space="preserve">Jira Align (Retail) </t>
  </si>
  <si>
    <t>500</t>
  </si>
  <si>
    <t>339100</t>
  </si>
  <si>
    <t>Susan Stiers</t>
  </si>
  <si>
    <t>Tool and support required for Retail products and services to be managed in the SAFe (agile) model.</t>
  </si>
  <si>
    <t>Jira Align is an enterprise strategy and planning solution that connects strategy to technical execution.</t>
  </si>
  <si>
    <t>https://www.atlassian.com/software/jira/align/pricing</t>
  </si>
  <si>
    <t>Luxion, Inc</t>
  </si>
  <si>
    <t>Keyshot Pro</t>
  </si>
  <si>
    <t>3</t>
  </si>
  <si>
    <t>3474.99</t>
  </si>
  <si>
    <t>Our Industrial Designers use Keyshot to create 3D renderings of new products during the concept phase. Occasionally they also create photo-realistic renderings for product marketing and packaging.
They all use this software now but have perpetual licenses for older versions. This upgrade is included in FY24 Budget for UX.</t>
  </si>
  <si>
    <t>3D Rendering software for our Industrial Design Team.</t>
  </si>
  <si>
    <t>https://www.keyshot.com/</t>
  </si>
  <si>
    <t>National Instruments</t>
  </si>
  <si>
    <t>LabVIEW</t>
  </si>
  <si>
    <t>969.3115002</t>
  </si>
  <si>
    <t>Global Products: Hardware</t>
  </si>
  <si>
    <t>Chuck Allison</t>
  </si>
  <si>
    <t>LambdaTest</t>
  </si>
  <si>
    <t>65616</t>
  </si>
  <si>
    <t>Jason Probala</t>
  </si>
  <si>
    <t>LambdaTest Is The Fastest, Most Reliable And Scalable Test Execution Platform.LambdaTest lets you check your websites and web applications in all major browsers and real devices. You can also use features like scheduled screenshots, responsive testing, geolocation etc.</t>
  </si>
  <si>
    <t>https://www.lambdatest.com/</t>
  </si>
  <si>
    <t>HONEYWELL</t>
  </si>
  <si>
    <t>Lenel S2</t>
  </si>
  <si>
    <t>2496</t>
  </si>
  <si>
    <t>Victor Peralta</t>
  </si>
  <si>
    <t>This is for OpenBlue Lenel Connector SDK License to support JPMC Customer.</t>
  </si>
  <si>
    <t>LenelS2 is the global leader in advanced physical security solutions, including access control, video surveillance and mobile credentialing. We innovate products, systems and services to address the most complex, evolving needs of some of the world's most demanding organizations. Whether you’re operating a small- to medium-sized business or the largest global enterprise, our solutions are built to solve your unique challenges.</t>
  </si>
  <si>
    <t>https://www.lenels2.com/en/</t>
  </si>
  <si>
    <t>Level Access</t>
  </si>
  <si>
    <t>125800</t>
  </si>
  <si>
    <t>Integrated digital accessibility platform that  provides external resources, support, and expertise to ensure our products are adhering to accessible compliance standards/laws.</t>
  </si>
  <si>
    <t>https://apps.jci.com/:b:/r/sites/FinOps-SRECommitmentBaseline/Shared%20Documents/MSA/Level%20Access%20MSA.pdf?csf=1&amp;web=1&amp;e=kPY14v</t>
  </si>
  <si>
    <t>LINQPad Pty Ltd</t>
  </si>
  <si>
    <t>LINQPad</t>
  </si>
  <si>
    <t>200</t>
  </si>
  <si>
    <t>1630.43</t>
  </si>
  <si>
    <t>Teresa J Hutton</t>
  </si>
  <si>
    <t>Many developers across JCI in various locations indicated they would definitely use LINQPad if available, and many more would consider using it if available. The developers who do use LINQPad report increased productivity because of it. The cost is low for an Enterprise edition that works across locations ($1650 for enterprise edition with unlimited users and 10 locations). See pricing here: [https://www.linqpad.net/Purchase.aspx|https://www.linqpad.net/Purchase.aspx]</t>
  </si>
  <si>
    <t>Instantly test any C#/F#/VB snippet or program
Query databases in LINQ (or SQL) — SQL/Azure, Oracle, SQLite, Postgres &amp; MySQL
Enjoy rich output formatting, autocompletion with AI and integrated debugging
Script and automate in your favorite .NET language, with all the benefits of a REPL
Interoperate with BenchmarkDotNet, xUnit, Rx, MSAL, Excel and more
Super lightweight — small and fast, with xcopy option</t>
  </si>
  <si>
    <t>https://www.linqpad.net/</t>
  </si>
  <si>
    <t>Dotcom-Monitor Inc</t>
  </si>
  <si>
    <t>LoadView</t>
  </si>
  <si>
    <t>Mahesh Upadhyay</t>
  </si>
  <si>
    <t>This tool gives us lot of benefits to performance test which blazemeter can’t.
We need to extend this license again for Loan &amp; Performance testing activities in OpenBlue for a year.</t>
  </si>
  <si>
    <t>LoadView is a web-based stress testing tool that simulates real user scenarios and API calls in various browsers and devices.</t>
  </si>
  <si>
    <t>https://www.loadview-testing.com/</t>
  </si>
  <si>
    <t>Logz.io</t>
  </si>
  <si>
    <t>153612.38</t>
  </si>
  <si>
    <t>This service allows to store logs and perform smart searches on them in order to identify anomalies or issues.</t>
  </si>
  <si>
    <t>https://logz.io/</t>
  </si>
  <si>
    <t>https://apps.jci.com/:b:/r/sites/FinOps-SRECommitmentBaseline/Shared%20Documents/MSA/Logzio%20MSA%20Amend1.pdf?csf=1&amp;web=1&amp;e=3CkVnO</t>
  </si>
  <si>
    <t>Lonmark International</t>
  </si>
  <si>
    <t>Lonmark Partner Membership</t>
  </si>
  <si>
    <t>5000</t>
  </si>
  <si>
    <t>Product Management</t>
  </si>
  <si>
    <t>Mel Menke</t>
  </si>
  <si>
    <t>The membership allows the JCI LONMark certified products to be listed on the LONMark website and the ability to include the LonMark logo on the Metasys, FX and Johnson branded LON products.</t>
  </si>
  <si>
    <t>It is a leading networking solution for Building Automation Systems (BAS). Estimates for the number of nodes installed worldwide range into the millions.</t>
  </si>
  <si>
    <t>https://www.lonmark.org/membership/</t>
  </si>
  <si>
    <t>Looker</t>
  </si>
  <si>
    <t>171000</t>
  </si>
  <si>
    <t>Richard J. Campero</t>
  </si>
  <si>
    <t>Looker Studio, formerly Google Data Studio, is an online tool for converting data into customizable, informative reports and dashboards.</t>
  </si>
  <si>
    <t>https://lookerstudio.google.com/overview</t>
  </si>
  <si>
    <t>Lucid Software</t>
  </si>
  <si>
    <t xml:space="preserve">Lucid </t>
  </si>
  <si>
    <t>17494</t>
  </si>
  <si>
    <t>Lucid is a platform that empowers teams to ideate, plan, design, build, and launch game-changing solutions from a shared infinite canvas. It offers tools for product and UX, engineering, IT, project management, general and administrative etc.</t>
  </si>
  <si>
    <t>https://lucid.co/</t>
  </si>
  <si>
    <t>Avangate Inc</t>
  </si>
  <si>
    <t>Malwarebytes</t>
  </si>
  <si>
    <t>1</t>
  </si>
  <si>
    <t>49.99</t>
  </si>
  <si>
    <t>Scanner for work Mac Laptop</t>
  </si>
  <si>
    <t>Malwarebytes offers products and services to protect your devices from malware, ransomware, identity theft and other cyber threats. Malwarebytes Endpoint Protection – Business or personal edition .</t>
  </si>
  <si>
    <t>https://www.malwarebytes.com/</t>
  </si>
  <si>
    <t>Mapbox</t>
  </si>
  <si>
    <t>0</t>
  </si>
  <si>
    <t>Sujit Baranwal</t>
  </si>
  <si>
    <t>Currently, In Companion mobile application, we are using Google Maps, which has limitations on the zoom level and does not have a good user experience. Additionally, due to these zoom level restrictions in Google Maps, the user experience has been impacted, making it difficult for users to view occupancy and other details effectively. Multiple customers have raised concerns regarding these limitations, reporting challenges such as tapping, viewing details, and checking availabilities.
We have completed the POC using the Mapbox library, and the feedback from internal users has been overwhelmingly positive, as the removal of zoom level restrictions has significantly improved the experience.</t>
  </si>
  <si>
    <t>Mapbox is a powerful and flexible mapping platform that enables developers to build customized maps and location-based features for mobile applications. By integrating the Mapbox SDK for both iOS and Android, you can leverage high-performance vector maps, real-time navigation, geocoding, and advanced data visualization capabilities to enhance the user experience.
Key Features of Mapbox Integration:
Customizable Maps: Design and style maps with custom markers, layers, and themes to match your app's branding.
Offline Maps: Allow users to access maps and navigation even without an internet connection.
Geocoding and Reverse Geocoding: Convert addresses into geographic coordinates and vice versa.
Advanced Navigation: Implement turn-by-turn navigation, route optimization, and traffic-aware directions.
Data Visualization: Integrate heat maps, clusters, and dynamic data overlays using GeoJSON and other formats.
Performance Optimization: Efficient rendering and smooth interactions for enhanced user experience.
Integration Overview:
iOS: Use the Mapbox SDK for iOS with Swift or Objective-C to add maps, markers, and custom layers.
Android: Leverage the Mapbox SDK for Android with Java or Kotlin for seamless map integration and navigation features.
By integrating Mapbox, you can transform your mobile app with visually appealing maps, accurate location services, and interactive user experiences. 🌐
This is required for Companion mobile application.
For More Details - [https://jciproducts.atlassian.net/wiki/spaces/OBCPN/pages/991453872803/Mapbox+Integration+-+iOS+and+Android|https://jciproducts.atlassian.net/wiki/spaces/OBCPN/pages/991453872803/Mapbox+Integration+-+iOS+and+Android]
Also refer the ppt attached</t>
  </si>
  <si>
    <t>https://www.mapbox.com/pricing</t>
  </si>
  <si>
    <t>MathWorks</t>
  </si>
  <si>
    <t>MathWorks (Chillers)</t>
  </si>
  <si>
    <t>180000</t>
  </si>
  <si>
    <t>Global Products: Chillers</t>
  </si>
  <si>
    <t>Steven T Sommer</t>
  </si>
  <si>
    <t>MathWorks produces mathematical computing software for engineers, scientists, mathematicians, and researchers. It is a programming platform designed specifically for engineers and scientists to analyze and design systems and products that transform our world. The heart of MATLAB is the MATLAB language, a matrix-based language allowing the most natural expression of computational mathematics.</t>
  </si>
  <si>
    <t>https://www.mathworks.com/login</t>
  </si>
  <si>
    <t>https://apps.jci.com/:b:/r/sites/FinOps-SRECommitmentBaseline/Shared%20Documents/MSA/Logzio%20MSA%20Amend1.pdf?csf=1&amp;web=1&amp;e=V8rsHi</t>
  </si>
  <si>
    <t>MathWorks (Controls)</t>
  </si>
  <si>
    <t>91998</t>
  </si>
  <si>
    <t>Christopher R Amundson</t>
  </si>
  <si>
    <t xml:space="preserve">30127355 : CONTROLS Master-These licenses are required by Engineering to develop many products for HVAC Controls and Chillers Controls. Product development could not continue without MATLAB and related plugin tools.
30127355 : CONTROLS Master : Client Access Licenses-CALs allow a single license for those products (MATLAB Compiler and MATLAB Compiler SDK) to be accessed by all the members of our team. In this case, that access will be through the use of our CI/CD pipeline in Polaris.
</t>
  </si>
  <si>
    <t>MathWorks produces mathematical computing software for engineers, scientists, mathematicians, and researchers. MATLAB, the language of technical computing, is a programming environment for algorithm development, data analysis, visualization, and numeric computation.</t>
  </si>
  <si>
    <t>MathWorks (Digital)</t>
  </si>
  <si>
    <t>18771.67</t>
  </si>
  <si>
    <t>Michael James Risbeck</t>
  </si>
  <si>
    <t>Standard renewal for MathWorks tools for Digital under Michael James Risbeck</t>
  </si>
  <si>
    <t>https://www.mathworks.com/</t>
  </si>
  <si>
    <t>MathWorks (HBS)</t>
  </si>
  <si>
    <t>Healthy Building Solutions</t>
  </si>
  <si>
    <t>Brennan Fentzlaff</t>
  </si>
  <si>
    <t>McAfee</t>
  </si>
  <si>
    <t>883000</t>
  </si>
  <si>
    <t xml:space="preserve">McAfee is a software that helps in defending against the latest virus, malware, ransomware and spyware threats while staying on top of your privacy and identity. </t>
  </si>
  <si>
    <t>https://www.mcafee.com/en-in/antivirus/mcafee-total-protection.html?msockid=28ac3f19e55d6252138d2b3de45b63ec</t>
  </si>
  <si>
    <t>Mezmo</t>
  </si>
  <si>
    <t>Derek R Supple</t>
  </si>
  <si>
    <t>log management solution enables DevOps teams to aggregate all of their system and application logs into a single platform. Automatic parsing, natural language search and real-time alerts allow teams to develop and debug their applications.</t>
  </si>
  <si>
    <t xml:space="preserve">Mezmo, formerly LogDNA, is an observability platform to manage and take action on your data. It ingests, processes, and routes log data to fuel enterprise-level application development and delivery, security, and compliance use cases.
</t>
  </si>
  <si>
    <t>https://www.crunchbase.com/organization/logdna</t>
  </si>
  <si>
    <t>Microsoft (Office 365 E3)</t>
  </si>
  <si>
    <t>1200</t>
  </si>
  <si>
    <t>Microsoft 365 is the cloud-based version of Office 365 with productivity tools, security features, and online access.</t>
  </si>
  <si>
    <t>https://www.microsoft.com/en-us/microsoft-365/download-office?msockid=28ac3f19e55d6252138d2b3de45b63ec</t>
  </si>
  <si>
    <t>Microsoft 365 Business Standard</t>
  </si>
  <si>
    <t>JCI Standard License Renewal</t>
  </si>
  <si>
    <t>Microsoft 365 Business Standard is a subscription service that includes desktop, web, and mobile versions of Word, Excel, PowerPoint, Outlook, and Teams.</t>
  </si>
  <si>
    <t>https://www.microsoft.com/en-in/microsoft-365/business/microsoft-365-business-standard?msockid=28ac3f19e55d6252138d2b3de45b63ec&amp;activetab=pivot:overviewtab</t>
  </si>
  <si>
    <t xml:space="preserve">Microsoft: Domain Subscription </t>
  </si>
  <si>
    <t>12</t>
  </si>
  <si>
    <t>MinIO Inc</t>
  </si>
  <si>
    <t>Min.IO</t>
  </si>
  <si>
    <t>24000</t>
  </si>
  <si>
    <t>MinIO</t>
  </si>
  <si>
    <t>Object storage.  Without this we cannot process our data on our production systems.</t>
  </si>
  <si>
    <t>MinIO is a high-performance, distributed object storage system. It is software-defined, runs on industry-standard hardware, and is 100% open source with the dominant license being GNU AGPL v3.
MinIO is different in that it was designed from its inception to be the standard in private/hybrid cloud object storage. Because MinIO is purpose-built to serve only objects, a single-layer architecture achieves all of the necessary functionality without compromise. The result is a cloud-native object server that is simultaneously performant, scalable, and lightweight.
While MinIO excels at traditional object storage use cases like secondary storage, disaster recovery, and archiving, it is unique at overcoming the challenges associated with machine learning, analytics, and cloud-native application workloads.</t>
  </si>
  <si>
    <t>https://min.io/product/overview</t>
  </si>
  <si>
    <t>Percona LLC</t>
  </si>
  <si>
    <t>MongoDB</t>
  </si>
  <si>
    <t xml:space="preserve"> MongoDB Queryable Encryption is an industry-first innovation that allows customers to run expressive queries on encrypted data for processing.</t>
  </si>
  <si>
    <t>https://www.mongodb.com/</t>
  </si>
  <si>
    <t>Material UI SAS</t>
  </si>
  <si>
    <t>MUI X Material UI Pro</t>
  </si>
  <si>
    <t>540</t>
  </si>
  <si>
    <t>Jeffrey D Horvath</t>
  </si>
  <si>
    <t xml:space="preserve">The first question we have is whether JCI already uses and purchases the MUI X product for use at JCI. For our Software Monetization (SWM) project, we need 2 developer licenses, but the vendor only sells them in groups of 10.
Once we know if we can join and contribute to an already existing purchase, then we can write this justification more accurately. It's likely that since we need only 2 licenses, the justification would be difficult if it's just our team.
Due date
</t>
  </si>
  <si>
    <t>Pro plan
The Pro version of MUI X expands on the features of the community version with more advanced capabilities such as multi-filtering, multi-sorting, column resizing and column pinning for the data grid; as well as the date range picker component.
The Pro version is available under a commercial license—visit the Pricing page for details.</t>
  </si>
  <si>
    <t>https://mui.com/x/introduction/licensing/</t>
  </si>
  <si>
    <t>SALESFORCE.COM</t>
  </si>
  <si>
    <t>MuleSoft APIM</t>
  </si>
  <si>
    <t>9000</t>
  </si>
  <si>
    <t>Anypoint API Experience Hub is an API management platform and digital experience that enables organizations to create vibrant API ecosystems within and outside the enterprise. API providers can share, promote, and engage with their developer community. Developers and partners can find, explore, and consume APIs designed anywhere from a single place.
API Experience Hub is the next-generation evolution of API Community Manager for creating and managing API portals. The portal administrator can use out-of-the box templates to build developer portals in minutes and publish APIs from Anypoint Exchange to any audience. Anypoint Platform fully manages the portal deployment, administration, and the API and user management options so you don’t need any Salesforce knowledge to start.</t>
  </si>
  <si>
    <t>https://docs.mulesoft.com/api-experience-hub/</t>
  </si>
  <si>
    <t>https://apps.jci.com/:b:/r/sites/FinOps-SRECommitmentBaseline/Shared%20Documents/MSA/Salesforce%20MSA%20signed%2001302008-CW1363041-SIGNED%202.pdf?csf=1&amp;web=1&amp;e=pwXC2c</t>
  </si>
  <si>
    <t>Tenable</t>
  </si>
  <si>
    <t>Nessus Professional</t>
  </si>
  <si>
    <t>3990</t>
  </si>
  <si>
    <t>Jonathan S Brown</t>
  </si>
  <si>
    <t>Standard Tool Renewal</t>
  </si>
  <si>
    <t>Nessus identifies software flaws, missing patches, malware, denial-of-service vulnerabilities, default passwords and misconfiguration errors, among other potential flaws.</t>
  </si>
  <si>
    <t>https://www.tenable.com/products/nessus/nessus-professional</t>
  </si>
  <si>
    <t>F5 Networks</t>
  </si>
  <si>
    <t>NGINX</t>
  </si>
  <si>
    <t>236000</t>
  </si>
  <si>
    <t>The OpenBlue design uses an Ingress Pipeline that consists of - is powered by - NGINX, Sophos, AlertLogic, and DUO. It is documented in Polaris V1.0. Without renewing NGINX, OpenBlue cannot function.</t>
  </si>
  <si>
    <t>NGINX is a free, open-source, high-performance HTTP server and reverse proxy, as well as an IMAP/POP3 proxy server. NGINX is known for its high performance, stability, rich feature set, simple configuration, and low resource consumption.</t>
  </si>
  <si>
    <t>https://www.nginx.com/pricing/</t>
  </si>
  <si>
    <t>Tridium Inc</t>
  </si>
  <si>
    <t>Niagara Developer Program</t>
  </si>
  <si>
    <t>2265</t>
  </si>
  <si>
    <t>The FX software engineers use the resources Tridium provides with this Program to develop JCI-specific features that distinguish FX from the competition.</t>
  </si>
  <si>
    <t>The JCI Facility Explorer (FX) BAS is based on Tridium Niagara software framework. This purchase is for a 1 year subscription to the Niagara Developer Program.
Note: This service is enhanced this year and replaces DEV-PROG-ANN</t>
  </si>
  <si>
    <t>https://www.tridium.com/content/dam/tridium/en/documents/document-lists/dev/2023-0036-Niagara-Developer-Program.pdf</t>
  </si>
  <si>
    <t>Octopus Deploy</t>
  </si>
  <si>
    <t>Octopus</t>
  </si>
  <si>
    <t>22222.6</t>
  </si>
  <si>
    <t>Gerald A Asp</t>
  </si>
  <si>
    <t>Controls is using Octopus for Metasys Next Gen Automated testing
OB CUP: We currently use it to create and deploy to 50+ CUP production customers (and growing). Without it we would have a halt in production deployments. As of late last year JCI doesn’t seem to have a comparable solution.</t>
  </si>
  <si>
    <t>Octopus Deploy is an automated deployment server that makes it easy to automate deployment of ASP.NET web applications, Java applications, NodeJS application and custom scripts to multiple environments.</t>
  </si>
  <si>
    <t>https://octopus.com/</t>
  </si>
  <si>
    <t>Okta</t>
  </si>
  <si>
    <t>369764.7771</t>
  </si>
  <si>
    <t>Dimitar Zlatarev</t>
  </si>
  <si>
    <t>Ingress</t>
  </si>
  <si>
    <t>Perforce/Rogue Wave</t>
  </si>
  <si>
    <t>OpenLogic Silver Support</t>
  </si>
  <si>
    <t>42966.66667</t>
  </si>
  <si>
    <t>Ishmeet Bhatia</t>
  </si>
  <si>
    <t>Rogue Wave or OpenLogic team will provide long term support (“LTS”) for versions 1.6.9 and 1.8.2 of the AngularJS framework. These versions are end of life but heavily used in Metasys UI.
The team has already started the journey to move our code to React and take it off AngularJS but that is a multi year initiative. With extending this contract we are getting support from Open Logic to get builds and patches which ensure we have support for an End of Life product used by Metasys. This will help us get security fixes for potential vulnerabilities that might arise in EOL product
Our Metasys customers already have flagged the use of a non supported technology in our product but having an organization like Open logic support it gives the customers confidence that we are using a secure and maintained product. If we do not get this renewed we would have Metasys revenue impact</t>
  </si>
  <si>
    <t>OpenLogic by Perforce makes navigating the Enterprise Linux landscape easy. Our Linux experts provide unbiased guidance, technical and long-term support, and professional services to help your team to succeed — no matter the changes or challenges.
OpenLogic offers support packages in gold, silver and bronze tiers for all popular Enterprise Linux distributions, including CentOS, Ubuntu, Oracle Linux, OpenSUSE, Rocky Linux, AlmaLinux and more.
AngularJS Long Term Support
Tier 3 Up to 50 Servers
Not limited to customers
OSS Package Type: AngularJS</t>
  </si>
  <si>
    <t>https://www.openlogic.com/solutions/enterprise-linux-support</t>
  </si>
  <si>
    <t>Open Text Corporation</t>
  </si>
  <si>
    <t>OpenText</t>
  </si>
  <si>
    <t>19000</t>
  </si>
  <si>
    <t>The software we use from them is Start Team. It is a version control management system for software development. Retail Engineering have been using it for many years</t>
  </si>
  <si>
    <t>OpenText provides cloud-based solutions to manage, analyze and automate data across industries and applications.</t>
  </si>
  <si>
    <t>https://www.opentext.com/</t>
  </si>
  <si>
    <t>O'Reilly Media Inc</t>
  </si>
  <si>
    <t>O'Reilly</t>
  </si>
  <si>
    <t>35890.4</t>
  </si>
  <si>
    <t>Learning subscriptions for operational development of cloud platform/architecture. Licensing will be used for OpenBlue Platform (OpenBlue Twin, Cloud, Bridge).</t>
  </si>
  <si>
    <t>O'Reilly offers individual and team subscriptions for access to expert content, live online training, books, video courses, and more.</t>
  </si>
  <si>
    <t>https://www.oreilly.com/online-learning/pricing.html</t>
  </si>
  <si>
    <t>PagerDuty Inc</t>
  </si>
  <si>
    <t>PagerDuty</t>
  </si>
  <si>
    <t>28399.5</t>
  </si>
  <si>
    <t>"PagerDuty is used by OpenBlue platform. It is part of ""Polaris Observability.""
PagerDuty is a tool to benefit the OpenBlue on-call teams.
1) Aggregate all of the ping, server, IP, network, website, and bandwidth monitoring tools into one single point of ingestion.
2) Configure your monitoring tools to pass all alert data to PagerDuty for a single view.
3) Receive alerts via phone call, SMS, push notifications, or emails.
4) Deliver better software and better customer experiences around the clock.
If we don't renew PagerDuty, we will not be able to receive alerts via phone calls, test messages for OpenBlue."</t>
  </si>
  <si>
    <t>PagerDuty helps you proactively manage your digital operations by collecting data signals from anywhere, interpreting those signals using machine learning, automatically engaging the right people, and accelerating resolution and learning.</t>
  </si>
  <si>
    <t>https://www.pagerduty.com/</t>
  </si>
  <si>
    <t>Izuma Networks</t>
  </si>
  <si>
    <t>Pelion Device Management</t>
  </si>
  <si>
    <t>130800</t>
  </si>
  <si>
    <t>CEG is dependent on this for OS updates</t>
  </si>
  <si>
    <t>Pelion Device Management is a managed service for interacting and managing your connected devices. It includes: A secure connection, over which you can interact and manage your IoT devices. An end-to-end remote firmware update solution.</t>
  </si>
  <si>
    <t>https://pelion.com/</t>
  </si>
  <si>
    <t>Pure Storage Inc</t>
  </si>
  <si>
    <t>Portworx</t>
  </si>
  <si>
    <t>705940.9842</t>
  </si>
  <si>
    <t>Passed</t>
  </si>
  <si>
    <t>Core infrastructure for Polaris HA/DR</t>
  </si>
  <si>
    <t>Portworx® by Pure Storage® provides a fully integrated solution for persistent storage, data protection, disaster recovery, data security, cross-cloud and data migrations, and automated capacity management for applications running on Kubernetes.</t>
  </si>
  <si>
    <t>https://www.purestorage.com/products/cloud-native-applications/portworx.html</t>
  </si>
  <si>
    <t>Crunchy Data Solutions Inc</t>
  </si>
  <si>
    <t>PostgreSQL and Crunchy Data</t>
  </si>
  <si>
    <t>515320.1655</t>
  </si>
  <si>
    <t>Crunchy</t>
  </si>
  <si>
    <t>This is required for the new standardized HADR Relational DB. This is required for all products that require a relational database.</t>
  </si>
  <si>
    <t>Built on PGO, the Postgres Operator from Crunchy Data, Crunchy Postgres for Kubernetes gives you a declarative Postgres solution that automatically manages your PostgreSQL clusters providing: Fast, easy deployment. High availability. Backup management and disaster recovery.</t>
  </si>
  <si>
    <t>https://www.crunchydata.com/</t>
  </si>
  <si>
    <t>PostgreSQL and Crunchy Data (Retail)</t>
  </si>
  <si>
    <t>119044.9</t>
  </si>
  <si>
    <t>Postman Inc</t>
  </si>
  <si>
    <t>Postman</t>
  </si>
  <si>
    <t>165</t>
  </si>
  <si>
    <t>89179.2</t>
  </si>
  <si>
    <t>Postman is a tool that simplifies each step of the API lifecycle and streamlines collaboration. It offers an API repository, a set of tools, workspaces, integrations, and a low-code tool for building API applications.</t>
  </si>
  <si>
    <t>https://www.postman.com/product/what-is-postman/</t>
  </si>
  <si>
    <t>PowerBI (China)</t>
  </si>
  <si>
    <t>515.6</t>
  </si>
  <si>
    <t>For OBEM &amp; CEP China instance we need Power Bi pro license, yearly approximate cost is USD 580 for 5 users (1 for CEP &amp; 4 for OBEM).</t>
  </si>
  <si>
    <t>Power BI is a Microsoft product that lets you connect, visualize, and analyze any data, and infuse insights into the apps you use every day.</t>
  </si>
  <si>
    <t>https://app.powerbi.com/home</t>
  </si>
  <si>
    <t>YesLogic Pty. Ltd</t>
  </si>
  <si>
    <t>Prince XML</t>
  </si>
  <si>
    <t>3566.59</t>
  </si>
  <si>
    <t>Ramanna Sreenath</t>
  </si>
  <si>
    <t>Prince XML software is required for pdf generation functionality on loss prevention project SMaaS. This particular software has been already used in traffic project in sensormatic solutions. Without this software the FY-2024 roadmap deliveries will be impacted.</t>
  </si>
  <si>
    <t xml:space="preserve">Prince (formerly Prince XML) is a computer program that converts XML and HTML documents into PDF files by applying Cascading Style Sheets (CSS). Prince is a commercial product, which is free to download and use for non-commercial purposes.
Prince supports all common web standards, including HTML, CSS and JavaScript, through its own code. </t>
  </si>
  <si>
    <t>https://www.princexml.com/</t>
  </si>
  <si>
    <t>Private Node Server</t>
  </si>
  <si>
    <t>9906.172543</t>
  </si>
  <si>
    <t>https://smartbear.com/blog/alertsite-uxm-revolutionizing-user-experience/</t>
  </si>
  <si>
    <t>QT</t>
  </si>
  <si>
    <t>Qt is a cross-platform application development framework for creating graphical user interfaces as well as cross-platform applications that run on various software and hardware platforms such as Linux, Windows, macOS, Android or embedded systems with little or no change in the underlying codebase while still being a native application with native capabilities and speed.</t>
  </si>
  <si>
    <t>https://www.qt.io/</t>
  </si>
  <si>
    <t>Qualys Inc</t>
  </si>
  <si>
    <t>Qualys</t>
  </si>
  <si>
    <t>470180</t>
  </si>
  <si>
    <t>Cosmin Nicolae</t>
  </si>
  <si>
    <t>Security Monitoring</t>
  </si>
  <si>
    <t>Qualys is a cloud-based solution that detects vulnerabilities on all networked assets, including servers, network devices (e.g. routers, switches, firewalls, etc.), peripherals (such as IP-based printers or fax machines) and workstations. Qualys can assess any device that has an IP address.</t>
  </si>
  <si>
    <t>https://www.qualys.com/</t>
  </si>
  <si>
    <t>ReadyAPI</t>
  </si>
  <si>
    <t>210855.1864</t>
  </si>
  <si>
    <t>https://smartbear.com/blog/</t>
  </si>
  <si>
    <t>Redpanda</t>
  </si>
  <si>
    <t>806000</t>
  </si>
  <si>
    <t>Required for OpenBlue to function</t>
  </si>
  <si>
    <t>Redpanda is a simple, powerful, and cost-efficient streaming data platform that is compatible with Kafka APIs but much less complex, faster and more affordable.</t>
  </si>
  <si>
    <t>https://redpanda.com/</t>
  </si>
  <si>
    <t>https://apps.jci.com/:b:/r/sites/FinOps-SRECommitmentBaseline/Shared%20Documents/MSA/Redpanda%20MSA.pdf?csf=1&amp;web=1&amp;e=rnEJlb</t>
  </si>
  <si>
    <t>Twilio Inc</t>
  </si>
  <si>
    <t>SendGrid</t>
  </si>
  <si>
    <t>16000</t>
  </si>
  <si>
    <t>Software Support &amp; Maintenance</t>
  </si>
  <si>
    <t xml:space="preserve">New SendGrid account for Polaris CI/CD. </t>
  </si>
  <si>
    <t xml:space="preserve">SendGrid offers a cloud-based email platform with features like ISP monitoring, sender authentication, dedicated IP addresses, and expert services. Integrate with RESTful APIs, SMTP, or libraries and access email tools, data, and support.
</t>
  </si>
  <si>
    <t>https://sendgrid.com/en-us</t>
  </si>
  <si>
    <t>Thales Group</t>
  </si>
  <si>
    <t>Sentinel RMS</t>
  </si>
  <si>
    <t>319990.3333</t>
  </si>
  <si>
    <t>Needed for software monetization of Metasys products. If the software licensing is not renewed, we cannot monetize (sell) Metasys products.</t>
  </si>
  <si>
    <t>Previously known as SafeNet and Gemalto.
Entitlement Management System or EMS, used for SW Monetization.	
A centralized License Management Interface for employees, partners, and end customers. License, deliver, and protect your software to grow your business. The Sentinel EMS Enterprise Customer Portal is a brand new self-service interface for end customers to view and manage their entitlements, downloads, and activations. This next generation portal has been created from the same advanced framework developed by Thales Sentinel User Interface/User Experience (UI/UX) design experts and introduced in the Sentinel EMS Vendor Portal.
Total Number of Production System Instances: 1
Total Number of Pre-Production System Instances: 2</t>
  </si>
  <si>
    <t>https://www.thalesgroup.com/en</t>
  </si>
  <si>
    <t>ShareGate</t>
  </si>
  <si>
    <t>Todd Wilcox</t>
  </si>
  <si>
    <t>ShareGate is your out-of-the-box Microsoft 365 migration and governance solution, packed with best practices to guide you at every step.It helps you migrate, manage and protect your Microsoft 365 data.ShareGate is a migration tool that assists in migrating or upgrading directly to the latest SharePoint or Office 365 version. Using ShareGate is common in SharePoint communities since it is regarded as simple to use yet reliable when migrating.</t>
  </si>
  <si>
    <t>https://sharegate.com/</t>
  </si>
  <si>
    <t>Snowflake Inc</t>
  </si>
  <si>
    <t>Snowflake</t>
  </si>
  <si>
    <t>3500000</t>
  </si>
  <si>
    <t>A single, fully managed platform that powers the AI Data Cloud. Snowflake securely connects businesses globally across any type or scale of data to productize AI, applications and more in the enterprise.</t>
  </si>
  <si>
    <t>https://www.snowflake.com/en/data-cloud/platform/</t>
  </si>
  <si>
    <t>Dassault Systemes Americas Corp</t>
  </si>
  <si>
    <t>SOLIDWORKS</t>
  </si>
  <si>
    <t>433376</t>
  </si>
  <si>
    <t>James Pittenger</t>
  </si>
  <si>
    <t>SOLIDWORKS® is the most widely used 3D CAD package in education and industry today. Learning SOLIDWORKS apps helps you rise above your peers by developing the design and engineering skills you need to be successful for the next step in your education, or when it is time to enter the job market.</t>
  </si>
  <si>
    <t>https://www.solidworks.com/product/students</t>
  </si>
  <si>
    <t>SonarSource</t>
  </si>
  <si>
    <t>SonarCloud</t>
  </si>
  <si>
    <t>SonarCloud is a cloud-based code quality management platform hosted by SonarSource. It offers a convenient and scalable solution for teams and projects of all sizes, with no infrastructure setup required. SonarCloud is ideal for small to medium-sized projects, open-source projects, and individual developers.</t>
  </si>
  <si>
    <t>https://docs.sonarsource.com/sonarqube-cloud/</t>
  </si>
  <si>
    <t>SonarQube</t>
  </si>
  <si>
    <t>216500</t>
  </si>
  <si>
    <t>Sankeeth Kumar Chinta</t>
  </si>
  <si>
    <t>Development</t>
  </si>
  <si>
    <t>This cloud-based tool is used globally by Controls and Digital Solutions business units. Supporting programs include OpenBlue and Metasys. We need SonarQube as a means to "shift left" to discover security vulnerabilities before deploying products.
SonarQube is a standard software component for Polaris V1.0. Without renewal, OpenBlue will fail to work.</t>
  </si>
  <si>
    <t>SonarQube is a Code Quality Assurance tool that collects and analyzes source code, and provides reports for the code quality of your project. It combines static and dynamic analysis tools and enables quality to be measured continually over time.</t>
  </si>
  <si>
    <t>https://www.sonarsource.com/plans-and-pricing/</t>
  </si>
  <si>
    <t>Statuspage (jcihealthcheckprod.statuspage.io)</t>
  </si>
  <si>
    <t>3600</t>
  </si>
  <si>
    <t>Statuspage (jciopenblue.statuspage.io)</t>
  </si>
  <si>
    <t>4800</t>
  </si>
  <si>
    <t>Statuspage (shoppertrak.statuspage.io)</t>
  </si>
  <si>
    <t>7200</t>
  </si>
  <si>
    <t>Symantec</t>
  </si>
  <si>
    <t>Symantec Enterprise Cloud delivers data-centric hybrid security for the largest, most complex organizations in the world – on devices, in private data centers, and in the cloud.
Consistent Compliance: Apply and manage compliance controls consistently across the infrastructure.
Secure Remote Work: Protect critical enterprise assets wherever they live and from wherever they are accessed.
Data and Threat Protection Everywhere: Unify intelligence across control points to detect, block, and remediate targeted attacks.</t>
  </si>
  <si>
    <t>https://www.broadcom.com/products/cybersecurity</t>
  </si>
  <si>
    <t>TABLEAU SOFTWARE</t>
  </si>
  <si>
    <t>Tableau</t>
  </si>
  <si>
    <t>186000</t>
  </si>
  <si>
    <t>Tableau is a visual analytics platform transforming the way we use data to solve problems—empowering people and organizations to make the most of their data.</t>
  </si>
  <si>
    <t>https://www.tableau.com/</t>
  </si>
  <si>
    <t>TeamViewer</t>
  </si>
  <si>
    <t>TeamViewer (Sensormatic)</t>
  </si>
  <si>
    <t>TeamViewer is a remote access and remote control computer software, allowing maintenance of computers and other devices.</t>
  </si>
  <si>
    <t>https://www.teamviewer.com/</t>
  </si>
  <si>
    <t>Tekton</t>
  </si>
  <si>
    <t>Nextgen CI</t>
  </si>
  <si>
    <t>Tekton is a powerful and flexible . open-source framework for creating CI/CD systems, allowing developers to . build, test, and deploy . across cloud providers and on-premise systems.</t>
  </si>
  <si>
    <t>https://tekton.dev/</t>
  </si>
  <si>
    <t>Test Workflow</t>
  </si>
  <si>
    <t>4035.35</t>
  </si>
  <si>
    <t>Josh Fisher</t>
  </si>
  <si>
    <t>This request is for a one year renewal of the license I have used over the last year. I use these tools on a daily basis to develop TestStand sequences and Labview VI's for manufacturing and engineering labs. The Test Workflow Pro license is the most cost effective package that provides access to all the tools I need.</t>
  </si>
  <si>
    <t>NI’s Test Workflow is a collection of software for engineers. It supports every step in the test process with software specifically designed for test and measurement. Test Workflow contains the components needed in day-to-day work, such as connecting to instruments, performing measurements, and analyzing data.
View, analyze, and report data with one tool designed for engineering data. Connect to and automate NI hardware and any third-party ‎instrument. Perform data acquisition and save results to a file. Develop and build web applications for a test system to monitor ‎progress and control it remotely.
Test Workflow is available in two editions for conquering robust applications and equips users with tools to develop automated test ‎sequences for scaling.
This software license includes access to all of NI's tools for factory test development and support (Labview, TestStand, etc.).
‎</t>
  </si>
  <si>
    <t>https://www.ni.com/pdf/manuals/378766a.html</t>
  </si>
  <si>
    <t>Tridium Developer Support</t>
  </si>
  <si>
    <t>41.56936455</t>
  </si>
  <si>
    <t>Standard Software , needs to be renewed.</t>
  </si>
  <si>
    <t>The Tridium Niagara product is a scalable middleware platform used for Monitoring &amp; Controlling Buildings and Infrastructure. The Tridium Niagara system uses the concepts of distributed intelligence and distributed data.
The Developer Program at Tridium will grant your company rights to use the Niagara licensing server, access to developer support and parts, early access to Niagara releases and more.</t>
  </si>
  <si>
    <t>https://www.tridium.com/us/en/Learn/by-role/developer</t>
  </si>
  <si>
    <t>Tridium FX Niagara Developer</t>
  </si>
  <si>
    <t>Standard Software needs to be renewed</t>
  </si>
  <si>
    <t>Tridium Niagara is a building management system that utilizes an HTML framework to connect embedded devices or systems across a large number of manufacturers and communication protocols.</t>
  </si>
  <si>
    <t>https://www.tridium.com/us/en/Products/niagara</t>
  </si>
  <si>
    <t>Twilio</t>
  </si>
  <si>
    <t>96000</t>
  </si>
  <si>
    <t>IT Hardware - Resell</t>
  </si>
  <si>
    <t>Twilio is a platform for building voice and SMS applications with a web service API.</t>
  </si>
  <si>
    <t>https://www.twilio.com/en-us/products</t>
  </si>
  <si>
    <t>Twitter</t>
  </si>
  <si>
    <t>Twitter API Package</t>
  </si>
  <si>
    <t>Canonical Ltd</t>
  </si>
  <si>
    <t>Ubuntu Server Pro</t>
  </si>
  <si>
    <t>559776</t>
  </si>
  <si>
    <t>Needed for Metasys ADS Linux platform and technical support from Canonical.</t>
  </si>
  <si>
    <t>Ubuntu Server 22.04 LTS with Ubuntu Pro subscription
Ubuntu Pro is a security-hardened version of Ubuntu12. It is offered by Canonical for public clouds and is focused on enterprise and production use1. Ubuntu Pro is based on Ubuntu components but comes with a set of additional services that are activated out of the box1. It provides Extended Security Maintenance (ESM)1. Ubuntu Pro is sold as a subscription, but it is free for non-commercial use on up to five computers2</t>
  </si>
  <si>
    <t>https://ubuntu.com/pro</t>
  </si>
  <si>
    <t>User Interviews</t>
  </si>
  <si>
    <t>34643</t>
  </si>
  <si>
    <t>Access to customers and users to test the prototypes before things are built is a pain and widely doesn’t happen today at JCI. This will allow us to store, manage, and operate our own research ops hub which will enable faster research cycles for the re-envisioning OBEM as well as new product work in vertical &amp; mid-market teams – i.e. OB utility Manager, Oil &amp; Gas, etc
License Count: 150 sessions for Recruit and 5000 contacts/year for Research Hub</t>
  </si>
  <si>
    <t>Recruit &amp; Research Hub
Access to UI’s panel of participants and platform that streamlines the recruitment operations and a platform that stores our own research participants (our own panel) and streamlines their recruitment operations.
www.userinterviews.com</t>
  </si>
  <si>
    <t>https://www.userinterviews.com/</t>
  </si>
  <si>
    <t>Weblate</t>
  </si>
  <si>
    <t>1468</t>
  </si>
  <si>
    <t>Katie Holterman</t>
  </si>
  <si>
    <t>Needed by Metasys products for language translations.</t>
  </si>
  <si>
    <t>Based on configuration and your translated language, Weblate provides suggestions from several machine translation tools and Translation Memory. All machine translations are available in a single tab of each translation page. You can find the list of supported tools in Configuring automatic suggestions.</t>
  </si>
  <si>
    <t>https://weblate.org/en/</t>
  </si>
  <si>
    <t>Wind River Systems Inc</t>
  </si>
  <si>
    <t>Wind River Linux LTS</t>
  </si>
  <si>
    <t>1200000</t>
  </si>
  <si>
    <t>Peter Buelow</t>
  </si>
  <si>
    <t>All current Linux OS devices are based on WR Linux LTS releases. As we use a variety of those licenses for a variety of different product needs and release timelines, we are responsible for purchasing the seats listed in the quote. This will allow us to continue to provide a stable and secure Linux solution to every one of our customers who depend on our Linux based devices.</t>
  </si>
  <si>
    <t>Wind River ® Linux enables you to develop, deploy, and operate robust, reliable, and secure embedded solutions running on a purpose-built Linux operating system.</t>
  </si>
  <si>
    <t>https://www.windriver.com/</t>
  </si>
  <si>
    <t>https://apps.jci.com/:b:/r/sites/FinOps-SRECommitmentBaseline/Shared%20Documents/MSA/WindRiver%20MSA.pdf?csf=1&amp;web=1&amp;e=FHEJQo</t>
  </si>
  <si>
    <t>Winnovative Software</t>
  </si>
  <si>
    <t>Winnovative Toolkit</t>
  </si>
  <si>
    <t>Unlimited</t>
  </si>
  <si>
    <t>750</t>
  </si>
  <si>
    <t>Winnovative Toolkit is used for BAS products, mainly to convert HTML to PDF files and vice versa. It is primarily used for Metasys. Renewal cost for "Toolkit Total Redistributable License Subscription Renewal" is $750</t>
  </si>
  <si>
    <t>Winnovative Reporting Toolkit for.NET comprises the HTML to PDF Converter library for.NET, the Excel library for.NET and the WebChart control for ASP.NET. With these tools you can easily create great looking PDF and Excel reports with charts and complex formatting.</t>
  </si>
  <si>
    <t>https://www.winnovative-software.com/</t>
  </si>
  <si>
    <t>WolfSSL Inc</t>
  </si>
  <si>
    <t>WolfSSL Commercial License</t>
  </si>
  <si>
    <t>102000</t>
  </si>
  <si>
    <t>Hunter R Hobgood</t>
  </si>
  <si>
    <t>We have many products using the WolfSSL libraries, we need this type of license to keep all our products in compliance.</t>
  </si>
  <si>
    <t>Subscription Term: 3 years
JCI Product Lines: Building Automation Controls Only
WolfSSL Products:
* wolfSSL
o wolfSSL is a lightweight C-language-based SSL/TLS library targeted for embedded,
RTOS, or resource-constrained environments primarily because of its small size, speed,
and portability. wolfSSL supports industry standards up to the current TLS 1.3 and DTLS
1.2 levels, is up to 20 times smaller than OpenSSL, offers a simple API, an OpenSSL
compatibility layer, OCSP and CRL support, and offers several progressive ciphers.
* wolfCrypt
o The wolfCrypt embedded cryptography engine is a lightweight cryptography library
targeted for embedded, RTOS, and resource constrained environments primarily because of its small size, speed, and portability. wolfCrypt supports the most popular
algorithms and ciphers as well as progressive ones such as ChaCha20, Curve25519,
NTRU, and Blake2b. wolfCrypt is stable, production-ready, and backed by an excellent
support team.
* wolfBoot
o wolfBoot is a portable, OS-agnostic, secure bootloader solution for 32-bit
microcontrollers, relying on wolfCrypt for firmware authentication, providing firmware
update mechanisms.
** Products that require FIPS 140-2/140-3 will need to acquire a separate FIPS Commercial License **
Corporate Support and Maintenance
Subscription Term in conjunction with WolfSSL Commercial License – Annual Subscription (Line
Item #1) $75,000/yr
o Bug fixes, Commercial Updates, How-To Questions, Unlimited Support Incidents, Email
and Phone Support for all WolfSSL products included in Annual Subscription.
 Does cover WolfCrypt FIPS Commercial Licenses.
$27,000/yr
NOTE – ALL EXISTING WOLFSSL support PO renewals should be dropped. This Subscription licenses covers all Products from the Building Automation Controls group.</t>
  </si>
  <si>
    <t>http://www.wolfssl.com/</t>
  </si>
  <si>
    <t>https://apps.jci.com/:b:/r/sites/FinOps-SRECommitmentBaseline/Shared%20Documents/MSA/WolfSSL%20Agreement.pdf?csf=1&amp;web=1&amp;e=KkeWn4</t>
  </si>
  <si>
    <t>Xirsys</t>
  </si>
  <si>
    <t>Xirsys offers TURN server services for WebRTC applications with global coverage, unlimited STUN, and flat rate pricing.</t>
  </si>
  <si>
    <t>https://xirsys.com/pricing/</t>
  </si>
  <si>
    <t>yWorks</t>
  </si>
  <si>
    <t>yFiles for HTML</t>
  </si>
  <si>
    <t>11196.29</t>
  </si>
  <si>
    <t>Required to produce Metasys products.</t>
  </si>
  <si>
    <t>yFiles is the industry-leading software library for visualizing, editing and analyzing graphs. The Graph Visualisation SDK is available for 5 major platforms and technologies: HTML, JavaFX, Java (Swing), WinForms, and WPF.</t>
  </si>
  <si>
    <t>https://www.yworks.com/</t>
  </si>
  <si>
    <t>SoftwareName</t>
  </si>
  <si>
    <t>TotalCost_WithoutTax</t>
  </si>
  <si>
    <t>AnnualCost</t>
  </si>
  <si>
    <t>Match</t>
  </si>
  <si>
    <t>Aha!</t>
  </si>
  <si>
    <t>Ansible</t>
  </si>
  <si>
    <t>ANSYS Twin Builder Enterprise</t>
  </si>
  <si>
    <t>Apigee (Retail)</t>
  </si>
  <si>
    <t>Artifactory (GP: Controls)</t>
  </si>
  <si>
    <t>Atlassian Products (GP: Intrusion)</t>
  </si>
  <si>
    <t>Aurora</t>
  </si>
  <si>
    <t>Perpetual</t>
  </si>
  <si>
    <t>Beyond Compare</t>
  </si>
  <si>
    <t>Bitwarden</t>
  </si>
  <si>
    <t>BrowserStack</t>
  </si>
  <si>
    <t>Collaborator</t>
  </si>
  <si>
    <t>CrowdStrike Falcon</t>
  </si>
  <si>
    <t>DockerHub</t>
  </si>
  <si>
    <t>NULL</t>
  </si>
  <si>
    <t>EdgeIQ</t>
  </si>
  <si>
    <t>Embedded Wizard</t>
  </si>
  <si>
    <t>GitHub Enterprise</t>
  </si>
  <si>
    <t>haneWIN</t>
  </si>
  <si>
    <t>HashiCorp Consul</t>
  </si>
  <si>
    <t>HashiCorp Vault</t>
  </si>
  <si>
    <t>MicroStation</t>
  </si>
  <si>
    <t>NetSuite (Tempered)</t>
  </si>
  <si>
    <t>Nginx (F5 Networks)</t>
  </si>
  <si>
    <t>OneLogin</t>
  </si>
  <si>
    <t>OpenText (Sensormatic)</t>
  </si>
  <si>
    <t>P5 BOM Manager</t>
  </si>
  <si>
    <t>Parallels Desktop for Mac</t>
  </si>
  <si>
    <t>PDF2ID Professional</t>
  </si>
  <si>
    <t>Rhino 8.0</t>
  </si>
  <si>
    <t>SCADA Engine BACnet Simulator</t>
  </si>
  <si>
    <t>SheetJS Pro Basic</t>
  </si>
  <si>
    <t>Snipe-IT</t>
  </si>
  <si>
    <t>TENABLE.EP</t>
  </si>
  <si>
    <t>UserLock</t>
  </si>
  <si>
    <t>Vagrant</t>
  </si>
  <si>
    <t>Windchill ThingWorx</t>
  </si>
  <si>
    <t>wolfSSL</t>
  </si>
  <si>
    <t>e</t>
  </si>
  <si>
    <t>BSID</t>
  </si>
  <si>
    <t>BS51094</t>
  </si>
  <si>
    <t>BS54784</t>
  </si>
  <si>
    <t>BS51022</t>
  </si>
  <si>
    <t>BS159</t>
  </si>
  <si>
    <t>BS54624</t>
  </si>
  <si>
    <t>BS54672</t>
  </si>
  <si>
    <t>BS55006</t>
  </si>
  <si>
    <t>BS51328</t>
  </si>
  <si>
    <t>BS51414</t>
  </si>
  <si>
    <t>BS53967</t>
  </si>
  <si>
    <t>BS56092</t>
  </si>
  <si>
    <t>BS1401</t>
  </si>
  <si>
    <t>BS53608</t>
  </si>
  <si>
    <t>BS54430</t>
  </si>
  <si>
    <t>BS51087</t>
  </si>
  <si>
    <t>BS470**</t>
  </si>
  <si>
    <t>BS51422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</si>
</sst>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8"/>
      <name val="Aptos Narrow"/>
      <family val="2"/>
      <scheme val="minor"/>
    </font>
    <font>
      <sz val="7"/>
      <color theme="1"/>
      <name val="Segoe U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2">
    <xf numFmtId="0" fontId="0" fillId="0" borderId="0" xfId="0"/>
    <xf numFmtId="49" fontId="0" fillId="0" borderId="0" xfId="0" applyNumberFormat="1"/>
    <xf numFmtId="0" fontId="0" fillId="0" borderId="0" xfId="0" applyAlignment="1">
      <alignment wrapText="1"/>
    </xf>
    <xf numFmtId="1" fontId="0" fillId="0" borderId="0" xfId="0" applyNumberFormat="1"/>
    <xf numFmtId="0" fontId="18" fillId="0" borderId="0" xfId="42"/>
    <xf numFmtId="49" fontId="0" fillId="33" borderId="0" xfId="0" applyNumberFormat="1" applyFill="1"/>
    <xf numFmtId="0" fontId="0" fillId="34" borderId="0" xfId="0" applyFill="1"/>
    <xf numFmtId="0" fontId="16" fillId="0" borderId="0" xfId="0" applyFont="1"/>
    <xf numFmtId="164" fontId="0" fillId="34" borderId="0" xfId="0" applyNumberFormat="1" applyFill="1"/>
    <xf numFmtId="164" fontId="0" fillId="0" borderId="0" xfId="0" applyNumberFormat="1"/>
    <xf numFmtId="0" fontId="20" fillId="0" borderId="0" xfId="0" applyFont="1" applyAlignment="1">
      <alignment vertical="center"/>
    </xf>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alignment horizontal="general" vertical="bottom" textRotation="0" wrapText="1" indent="0" justifyLastLine="0" shrinkToFit="0" readingOrder="0"/>
    </dxf>
    <dxf>
      <alignment horizontal="general" vertical="bottom" textRotation="0" wrapText="1" indent="0" justifyLastLine="0" shrinkToFit="0" readingOrder="0"/>
    </dxf>
    <dxf>
      <numFmt numFmtId="1" formatCode="0"/>
    </dxf>
    <dxf>
      <numFmt numFmtId="30" formatCode="@"/>
    </dxf>
    <dxf>
      <numFmt numFmtId="30" formatCode="@"/>
    </dxf>
    <dxf>
      <numFmt numFmtId="30" formatCode="@"/>
    </dxf>
    <dxf>
      <numFmt numFmtId="30" formatCode="@"/>
    </dxf>
    <dxf>
      <numFmt numFmtId="0" formatCode="General"/>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164" formatCode="&quot;$&quot;#,##0"/>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8)" backgroundRefresh="0" connectionId="1" xr16:uid="{41EC07E1-D522-41CC-9087-E0778E62060F}" autoFormatId="16" applyNumberFormats="0" applyBorderFormats="0" applyFontFormats="0" applyPatternFormats="0" applyAlignmentFormats="0" applyWidthHeightFormats="0">
  <queryTableRefresh nextId="58">
    <queryTableFields count="23">
      <queryTableField id="3" name="Vendor" tableColumnId="1"/>
      <queryTableField id="57" dataBound="0" tableColumnId="8"/>
      <queryTableField id="1" name="Purchase Title" tableColumnId="2"/>
      <queryTableField id="51" dataBound="0" tableColumnId="51"/>
      <queryTableField id="54" dataBound="0" tableColumnId="54"/>
      <queryTableField id="56" dataBound="0" tableColumnId="5"/>
      <queryTableField id="52" dataBound="0" tableColumnId="52"/>
      <queryTableField id="53" dataBound="0" tableColumnId="53"/>
      <queryTableField id="25" name="Organization" tableColumnId="3"/>
      <queryTableField id="22" name="Status" tableColumnId="4"/>
      <queryTableField id="7" name="Owner / Reporter " tableColumnId="6"/>
      <queryTableField id="19" name="Audit Classification" tableColumnId="7"/>
      <queryTableField id="21" name="Source Identifier" tableColumnId="9"/>
      <queryTableField id="17" name="COGS %" tableColumnId="13"/>
      <queryTableField id="24" name="Software Use" tableColumnId="22"/>
      <queryTableField id="26" name="Subcategory" tableColumnId="23"/>
      <queryTableField id="27" name="FY24 Subcategory" tableColumnId="24"/>
      <queryTableField id="29" name="Cybersecurity Assessment Status" tableColumnId="27"/>
      <queryTableField id="38" name="ID" tableColumnId="33"/>
      <queryTableField id="33" name="Justification" tableColumnId="44"/>
      <queryTableField id="34" name="Software Description" tableColumnId="45"/>
      <queryTableField id="35" name="Manufacturer URL" tableColumnId="46"/>
      <queryTableField id="36" name="MSA" tableColumnId="47"/>
    </queryTableFields>
    <queryTableDeletedFields count="33">
      <deletedField name="Expiration Impact"/>
      <deletedField name="Source"/>
      <deletedField name="Charge Type"/>
      <deletedField name="Cross Charge"/>
      <deletedField name="FY24 Budget"/>
      <deletedField name="Enterprise SaaS COGS"/>
      <deletedField name="Budget Owner"/>
      <deletedField name="Internal Purchasing Contact"/>
      <deletedField name="Procurement Contact"/>
      <deletedField name="Purchase Method"/>
      <deletedField name="Technical Contact"/>
      <deletedField name="Renewal"/>
      <deletedField name="Cost Type"/>
      <deletedField name="Procurement Owner"/>
      <deletedField name="Supplier Relationship Notes"/>
      <deletedField name="Compliance Asset Id"/>
      <deletedField name="Internal Support Path"/>
      <deletedField name="FY23 Budget"/>
      <deletedField name="FY25 Budget"/>
      <deletedField name="temp_Vendor"/>
      <deletedField name="Modified"/>
      <deletedField name="Created"/>
      <deletedField name="Created By"/>
      <deletedField name="Modified By"/>
      <deletedField name="Item Child Count"/>
      <deletedField name="Folder Child Count"/>
      <deletedField name="Label setting"/>
      <deletedField name="Retention label"/>
      <deletedField name="Retention label Applied"/>
      <deletedField name="Label applied by"/>
      <deletedField name="Utilization Metric"/>
      <deletedField name="Item Type"/>
      <deletedField name="Path"/>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01C47B-F7A9-4D49-8ABF-CB2B15773BB2}" name="Table_query__8" displayName="Table_query__8" ref="A1:W142" tableType="queryTable" totalsRowShown="0">
  <autoFilter ref="A1:W142" xr:uid="{1E01C47B-F7A9-4D49-8ABF-CB2B15773BB2}"/>
  <tableColumns count="23">
    <tableColumn id="1" xr3:uid="{3A9115F5-BDE4-4A6E-A971-8878D12C55C3}" uniqueName="Vendor" name="Vendor" queryTableFieldId="3" dataDxfId="20"/>
    <tableColumn id="8" xr3:uid="{82B0DBC0-ABE3-4BC0-B84F-7B188BC146FE}" uniqueName="8" name="BSID" queryTableFieldId="57" dataDxfId="19"/>
    <tableColumn id="2" xr3:uid="{B5423F41-E3CC-4044-BC93-47E616F415A0}" uniqueName="Title" name="Purchase Title" queryTableFieldId="1" dataDxfId="18"/>
    <tableColumn id="51" xr3:uid="{C807DBF5-DBD0-4928-898F-735BB577ED38}" uniqueName="51" name="Type" queryTableFieldId="51" dataDxfId="17"/>
    <tableColumn id="54" xr3:uid="{A954F70B-D6AB-4B0F-A7E4-D4DABB9211BA}" uniqueName="54" name="AI Capabilities [Y/N]" queryTableFieldId="54" dataDxfId="16"/>
    <tableColumn id="5" xr3:uid="{4A210CF4-A1C7-4B12-9A78-2F9958241320}" uniqueName="5" name="AI Gov contact" queryTableFieldId="56" dataDxfId="15"/>
    <tableColumn id="52" xr3:uid="{BC289FE7-3EB3-4D9D-ADFC-46F093C4B09B}" uniqueName="52" name="User Count" queryTableFieldId="52" dataDxfId="14"/>
    <tableColumn id="53" xr3:uid="{14841A0C-473D-451F-8B10-A7DB213F93C2}" uniqueName="53" name="Annual $" queryTableFieldId="53" dataDxfId="13"/>
    <tableColumn id="3" xr3:uid="{509A7DCC-00CB-4B46-AAFD-58D2691D3C7B}" uniqueName="Organization" name="Organization" queryTableFieldId="25" dataDxfId="12"/>
    <tableColumn id="4" xr3:uid="{C4D52856-B6EE-40AE-8C3E-CA5D3C841DC6}" uniqueName="Status" name="Status" queryTableFieldId="22" dataDxfId="11"/>
    <tableColumn id="6" xr3:uid="{47445E9A-5E9A-4925-9448-A27980FB6AAD}" uniqueName="Owner_x005f_x002f_Reporter" name="Owner / Reporter " queryTableFieldId="7" dataDxfId="10"/>
    <tableColumn id="7" xr3:uid="{93C1F34F-45B3-4A11-A979-930F2B7064E3}" uniqueName="AuditClassification" name="Audit Classification" queryTableFieldId="19" dataDxfId="9"/>
    <tableColumn id="9" xr3:uid="{A7EBA9C9-9CEE-4313-9918-9CBDA9BA699C}" uniqueName="SourceIdentifier" name="Source Identifier" queryTableFieldId="21" dataDxfId="8"/>
    <tableColumn id="13" xr3:uid="{A09A290B-526B-4F5F-8DF7-4A7B446B5413}" uniqueName="COGS_x005f_x0025_" name="COGS %" queryTableFieldId="17" dataDxfId="7"/>
    <tableColumn id="22" xr3:uid="{0563ACD7-2295-455D-828A-B9ED46DB850E}" uniqueName="SoftwareUse" name="Software Use" queryTableFieldId="24" dataDxfId="6"/>
    <tableColumn id="23" xr3:uid="{AF650E44-9160-45CC-9BB3-3EC2E535DBD3}" uniqueName="Subcategory" name="Subcategory" queryTableFieldId="26" dataDxfId="5"/>
    <tableColumn id="24" xr3:uid="{2E779F99-AD19-431C-9AEC-0E20CB127B53}" uniqueName="FY24Subcategory" name="FY24 Subcategory" queryTableFieldId="27" dataDxfId="4"/>
    <tableColumn id="27" xr3:uid="{643702EF-B155-40AB-95F7-B70F9585D2E5}" uniqueName="CybersecurityAssessmentStatus" name="Cybersecurity Assessment Status" queryTableFieldId="29" dataDxfId="3"/>
    <tableColumn id="33" xr3:uid="{66BEC834-F0F5-4CB5-9BDE-86639CF698FB}" uniqueName="ID" name="ID" queryTableFieldId="38" dataDxfId="2"/>
    <tableColumn id="44" xr3:uid="{B956BC3A-E246-4A10-9FA4-F328321E0396}" uniqueName="Justification" name="Justification" queryTableFieldId="33" dataDxfId="1"/>
    <tableColumn id="45" xr3:uid="{4B870E6A-D525-4F35-AFDD-993D3EF689C2}" uniqueName="SoftwareDescription" name="Software Description" queryTableFieldId="34" dataDxfId="0"/>
    <tableColumn id="46" xr3:uid="{4F423FDF-1EE0-4E6B-8B4A-E0D35FA23AA5}" uniqueName="ManufactureURL" name="Manufacturer URL" queryTableFieldId="35"/>
    <tableColumn id="47" xr3:uid="{E36A3337-3963-4BD5-9DF4-FB05D2DE201A}" uniqueName="MSA" name="MSA" queryTableFieldId="3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evopdf.com/" TargetMode="External"/><Relationship Id="rId117" Type="http://schemas.openxmlformats.org/officeDocument/2006/relationships/hyperlink" Target="https://apps.jci.com/:b:/r/sites/FinOps-SRECommitmentBaseline/Shared%20Documents/MSA/Logzio%20MSA%20Amend1.pdf?csf=1&amp;web=1&amp;e=3CkVnO" TargetMode="External"/><Relationship Id="rId21" Type="http://schemas.openxmlformats.org/officeDocument/2006/relationships/hyperlink" Target="https://www.daypilot.org/products/" TargetMode="External"/><Relationship Id="rId42" Type="http://schemas.openxmlformats.org/officeDocument/2006/relationships/hyperlink" Target="https://www.jetbrains.com/" TargetMode="External"/><Relationship Id="rId47" Type="http://schemas.openxmlformats.org/officeDocument/2006/relationships/hyperlink" Target="https://www.linqpad.net/" TargetMode="External"/><Relationship Id="rId63" Type="http://schemas.openxmlformats.org/officeDocument/2006/relationships/hyperlink" Target="https://mui.com/x/introduction/licensing/" TargetMode="External"/><Relationship Id="rId68" Type="http://schemas.openxmlformats.org/officeDocument/2006/relationships/hyperlink" Target="https://octopus.com/" TargetMode="External"/><Relationship Id="rId84" Type="http://schemas.openxmlformats.org/officeDocument/2006/relationships/hyperlink" Target="https://sendgrid.com/en-us" TargetMode="External"/><Relationship Id="rId89" Type="http://schemas.openxmlformats.org/officeDocument/2006/relationships/hyperlink" Target="https://docs.sonarsource.com/sonarqube-cloud/" TargetMode="External"/><Relationship Id="rId112" Type="http://schemas.openxmlformats.org/officeDocument/2006/relationships/hyperlink" Target="https://apps.jci.com/:b:/r/sites/FinOps-SRECommitmentBaseline/Shared%20Documents/MSA/Ontotext%20-%20MSA.pdf?csf=1&amp;web=1&amp;e=P3hlgD" TargetMode="External"/><Relationship Id="rId16" Type="http://schemas.openxmlformats.org/officeDocument/2006/relationships/hyperlink" Target="https://btl.org/pre-testing-tools/" TargetMode="External"/><Relationship Id="rId107" Type="http://schemas.openxmlformats.org/officeDocument/2006/relationships/hyperlink" Target="https://apps.jci.com/:b:/r/sites/FinOps-SRECommitmentBaseline/Shared%20Documents/MSA/Arcadia%20Service%20Agreement%20Amendment%202.pdf?csf=1&amp;web=1&amp;e=gBDaH7" TargetMode="External"/><Relationship Id="rId11" Type="http://schemas.openxmlformats.org/officeDocument/2006/relationships/hyperlink" Target="https://www.microsoft.com/en-us/microsoft-teams/audio-conferencing?msockid=28ac3f19e55d6252138d2b3de45b63ec" TargetMode="External"/><Relationship Id="rId32" Type="http://schemas.openxmlformats.org/officeDocument/2006/relationships/hyperlink" Target="https://www.glassbox.com/" TargetMode="External"/><Relationship Id="rId37" Type="http://schemas.openxmlformats.org/officeDocument/2006/relationships/hyperlink" Target="https://www.highcharts.com/" TargetMode="External"/><Relationship Id="rId53" Type="http://schemas.openxmlformats.org/officeDocument/2006/relationships/hyperlink" Target="https://www.malwarebytes.com/" TargetMode="External"/><Relationship Id="rId58" Type="http://schemas.openxmlformats.org/officeDocument/2006/relationships/hyperlink" Target="https://www.crunchbase.com/organization/logdna" TargetMode="External"/><Relationship Id="rId74" Type="http://schemas.openxmlformats.org/officeDocument/2006/relationships/hyperlink" Target="https://www.purestorage.com/products/cloud-native-applications/portworx.html" TargetMode="External"/><Relationship Id="rId79" Type="http://schemas.openxmlformats.org/officeDocument/2006/relationships/hyperlink" Target="https://smartbear.com/blog/alertsite-uxm-revolutionizing-user-experience/" TargetMode="External"/><Relationship Id="rId102" Type="http://schemas.openxmlformats.org/officeDocument/2006/relationships/hyperlink" Target="https://www.windriver.com/" TargetMode="External"/><Relationship Id="rId123" Type="http://schemas.openxmlformats.org/officeDocument/2006/relationships/hyperlink" Target="https://apps.jci.com/:b:/r/sites/FinOps-SRECommitmentBaseline/Shared%20Documents/MSA/Redpanda%20MSA.pdf?csf=1&amp;web=1&amp;e=rnEJlb" TargetMode="External"/><Relationship Id="rId5" Type="http://schemas.openxmlformats.org/officeDocument/2006/relationships/hyperlink" Target="https://www.google.com/" TargetMode="External"/><Relationship Id="rId90" Type="http://schemas.openxmlformats.org/officeDocument/2006/relationships/hyperlink" Target="https://www.sonarsource.com/plans-and-pricing/" TargetMode="External"/><Relationship Id="rId95" Type="http://schemas.openxmlformats.org/officeDocument/2006/relationships/hyperlink" Target="https://www.ni.com/pdf/manuals/378766a.html" TargetMode="External"/><Relationship Id="rId22" Type="http://schemas.openxmlformats.org/officeDocument/2006/relationships/hyperlink" Target="https://js.devexpress.com/" TargetMode="External"/><Relationship Id="rId27" Type="http://schemas.openxmlformats.org/officeDocument/2006/relationships/hyperlink" Target="https://www.expirationreminder.com/" TargetMode="External"/><Relationship Id="rId43" Type="http://schemas.openxmlformats.org/officeDocument/2006/relationships/hyperlink" Target="https://www.atlassian.com/software/jira/align/pricing" TargetMode="External"/><Relationship Id="rId48" Type="http://schemas.openxmlformats.org/officeDocument/2006/relationships/hyperlink" Target="https://www.loadview-testing.com/" TargetMode="External"/><Relationship Id="rId64" Type="http://schemas.openxmlformats.org/officeDocument/2006/relationships/hyperlink" Target="https://docs.mulesoft.com/api-experience-hub/" TargetMode="External"/><Relationship Id="rId69" Type="http://schemas.openxmlformats.org/officeDocument/2006/relationships/hyperlink" Target="https://www.openlogic.com/solutions/enterprise-linux-support" TargetMode="External"/><Relationship Id="rId113" Type="http://schemas.openxmlformats.org/officeDocument/2006/relationships/hyperlink" Target="https://apps.jci.com/:b:/r/sites/FinOps-SRECommitmentBaseline/Shared%20Documents/MSA/HiveMQ%20GmbH%20MSA.pdf?csf=1&amp;web=1&amp;e=fN66q7" TargetMode="External"/><Relationship Id="rId118" Type="http://schemas.openxmlformats.org/officeDocument/2006/relationships/hyperlink" Target="https://apps.jci.com/:b:/r/sites/FinOps-SRECommitmentBaseline/Shared%20Documents/MSA/MathWorks%20MSA%20Policy.pdf?csf=1&amp;web=1&amp;e=2URwR8" TargetMode="External"/><Relationship Id="rId80" Type="http://schemas.openxmlformats.org/officeDocument/2006/relationships/hyperlink" Target="https://www.qt.io/" TargetMode="External"/><Relationship Id="rId85" Type="http://schemas.openxmlformats.org/officeDocument/2006/relationships/hyperlink" Target="https://www.thalesgroup.com/en" TargetMode="External"/><Relationship Id="rId12" Type="http://schemas.openxmlformats.org/officeDocument/2006/relationships/hyperlink" Target="https://aureliusenterprise.com/about-aurelius-enterprise/" TargetMode="External"/><Relationship Id="rId17" Type="http://schemas.openxmlformats.org/officeDocument/2006/relationships/hyperlink" Target="https://bitbucket.org/product/" TargetMode="External"/><Relationship Id="rId33" Type="http://schemas.openxmlformats.org/officeDocument/2006/relationships/hyperlink" Target="https://gojs.net/latest/index.html" TargetMode="External"/><Relationship Id="rId38" Type="http://schemas.openxmlformats.org/officeDocument/2006/relationships/hyperlink" Target="https://www.hivemq.com/" TargetMode="External"/><Relationship Id="rId59" Type="http://schemas.openxmlformats.org/officeDocument/2006/relationships/hyperlink" Target="https://www.microsoft.com/en-us/microsoft-365/download-office?msockid=28ac3f19e55d6252138d2b3de45b63ec" TargetMode="External"/><Relationship Id="rId103" Type="http://schemas.openxmlformats.org/officeDocument/2006/relationships/hyperlink" Target="https://www.winnovative-software.com/" TargetMode="External"/><Relationship Id="rId108" Type="http://schemas.openxmlformats.org/officeDocument/2006/relationships/hyperlink" Target="https://apps.jci.com/:b:/r/sites/FinOps-SRECommitmentBaseline/Shared%20Documents/MSA/Datadog%20MSA.pdf?csf=1&amp;web=1&amp;e=8oyaze" TargetMode="External"/><Relationship Id="rId124" Type="http://schemas.openxmlformats.org/officeDocument/2006/relationships/hyperlink" Target="https://apps.jci.com/:b:/r/sites/FinOps-SRECommitmentBaseline/Shared%20Documents/MSA/WindRiver%20MSA.pdf?csf=1&amp;web=1&amp;e=FHEJQo" TargetMode="External"/><Relationship Id="rId54" Type="http://schemas.openxmlformats.org/officeDocument/2006/relationships/hyperlink" Target="https://www.mapbox.com/pricing" TargetMode="External"/><Relationship Id="rId70" Type="http://schemas.openxmlformats.org/officeDocument/2006/relationships/hyperlink" Target="https://www.opentext.com/" TargetMode="External"/><Relationship Id="rId75" Type="http://schemas.openxmlformats.org/officeDocument/2006/relationships/hyperlink" Target="https://www.crunchydata.com/" TargetMode="External"/><Relationship Id="rId91" Type="http://schemas.openxmlformats.org/officeDocument/2006/relationships/hyperlink" Target="https://www.broadcom.com/products/cybersecurity" TargetMode="External"/><Relationship Id="rId96" Type="http://schemas.openxmlformats.org/officeDocument/2006/relationships/hyperlink" Target="https://www.tridium.com/us/en/Learn/by-role/developer" TargetMode="External"/><Relationship Id="rId1" Type="http://schemas.openxmlformats.org/officeDocument/2006/relationships/hyperlink" Target="https://www.altium.com/altium-designer" TargetMode="External"/><Relationship Id="rId6" Type="http://schemas.openxmlformats.org/officeDocument/2006/relationships/hyperlink" Target="https://appcenter.ms/sign-in?original_url=%2Fapps" TargetMode="External"/><Relationship Id="rId23" Type="http://schemas.openxmlformats.org/officeDocument/2006/relationships/hyperlink" Target="https://www.digicert.com/" TargetMode="External"/><Relationship Id="rId28" Type="http://schemas.openxmlformats.org/officeDocument/2006/relationships/hyperlink" Target="https://www.figma.com/" TargetMode="External"/><Relationship Id="rId49" Type="http://schemas.openxmlformats.org/officeDocument/2006/relationships/hyperlink" Target="https://logz.io/" TargetMode="External"/><Relationship Id="rId114" Type="http://schemas.openxmlformats.org/officeDocument/2006/relationships/hyperlink" Target="https://apps.jci.com/:b:/r/sites/FinOps-SRECommitmentBaseline/Shared%20Documents/MSA/IAR%20System%20Software%20Licensing%20Agreement.pdf?csf=1&amp;web=1&amp;e=pYuSM1" TargetMode="External"/><Relationship Id="rId119" Type="http://schemas.openxmlformats.org/officeDocument/2006/relationships/hyperlink" Target="https://apps.jci.com/:b:/r/sites/FinOps-SRECommitmentBaseline/Shared%20Documents/MSA/MathWorks%20MSA%20Policy.pdf?csf=1&amp;web=1&amp;e=2URwR8" TargetMode="External"/><Relationship Id="rId44" Type="http://schemas.openxmlformats.org/officeDocument/2006/relationships/hyperlink" Target="https://www.keyshot.com/" TargetMode="External"/><Relationship Id="rId60" Type="http://schemas.openxmlformats.org/officeDocument/2006/relationships/hyperlink" Target="https://www.microsoft.com/en-in/microsoft-365/business/microsoft-365-business-standard?msockid=28ac3f19e55d6252138d2b3de45b63ec&amp;activetab=pivot:overviewtab" TargetMode="External"/><Relationship Id="rId65" Type="http://schemas.openxmlformats.org/officeDocument/2006/relationships/hyperlink" Target="https://www.tenable.com/products/nessus/nessus-professional" TargetMode="External"/><Relationship Id="rId81" Type="http://schemas.openxmlformats.org/officeDocument/2006/relationships/hyperlink" Target="https://www.qualys.com/" TargetMode="External"/><Relationship Id="rId86" Type="http://schemas.openxmlformats.org/officeDocument/2006/relationships/hyperlink" Target="https://sharegate.com/" TargetMode="External"/><Relationship Id="rId13" Type="http://schemas.openxmlformats.org/officeDocument/2006/relationships/hyperlink" Target="https://web.autocad.com/login" TargetMode="External"/><Relationship Id="rId18" Type="http://schemas.openxmlformats.org/officeDocument/2006/relationships/hyperlink" Target="https://www.cakemail.ca/" TargetMode="External"/><Relationship Id="rId39" Type="http://schemas.openxmlformats.org/officeDocument/2006/relationships/hyperlink" Target="https://www.iar.com/products/architectures/arm/iar-embedded-workbench-for-arm/" TargetMode="External"/><Relationship Id="rId109" Type="http://schemas.openxmlformats.org/officeDocument/2006/relationships/hyperlink" Target="https://apps.jci.com/:b:/r/sites/FinOps-SRECommitmentBaseline/Shared%20Documents/MSA/Digicert%20MSA.pdf?csf=1&amp;web=1&amp;e=zWVrMx" TargetMode="External"/><Relationship Id="rId34" Type="http://schemas.openxmlformats.org/officeDocument/2006/relationships/hyperlink" Target="https://workspace.google.com/business/" TargetMode="External"/><Relationship Id="rId50" Type="http://schemas.openxmlformats.org/officeDocument/2006/relationships/hyperlink" Target="https://www.lonmark.org/membership/" TargetMode="External"/><Relationship Id="rId55" Type="http://schemas.openxmlformats.org/officeDocument/2006/relationships/hyperlink" Target="https://www.mathworks.com/login" TargetMode="External"/><Relationship Id="rId76" Type="http://schemas.openxmlformats.org/officeDocument/2006/relationships/hyperlink" Target="https://www.postman.com/product/what-is-postman/" TargetMode="External"/><Relationship Id="rId97" Type="http://schemas.openxmlformats.org/officeDocument/2006/relationships/hyperlink" Target="https://www.tridium.com/us/en/Products/niagara" TargetMode="External"/><Relationship Id="rId104" Type="http://schemas.openxmlformats.org/officeDocument/2006/relationships/hyperlink" Target="http://www.wolfssl.com/" TargetMode="External"/><Relationship Id="rId120" Type="http://schemas.openxmlformats.org/officeDocument/2006/relationships/hyperlink" Target="https://apps.jci.com/:b:/r/sites/FinOps-SRECommitmentBaseline/Shared%20Documents/MSA/MathWorks%20MSA%20Policy.pdf?csf=1&amp;web=1&amp;e=2URwR8" TargetMode="External"/><Relationship Id="rId125" Type="http://schemas.openxmlformats.org/officeDocument/2006/relationships/hyperlink" Target="https://apps.jci.com/:b:/r/sites/FinOps-SRECommitmentBaseline/Shared%20Documents/MSA/WolfSSL%20Agreement.pdf?csf=1&amp;web=1&amp;e=KkeWn4" TargetMode="External"/><Relationship Id="rId7" Type="http://schemas.openxmlformats.org/officeDocument/2006/relationships/hyperlink" Target="https://www.arcadia.com/" TargetMode="External"/><Relationship Id="rId71" Type="http://schemas.openxmlformats.org/officeDocument/2006/relationships/hyperlink" Target="https://www.oreilly.com/online-learning/pricing.html" TargetMode="External"/><Relationship Id="rId92" Type="http://schemas.openxmlformats.org/officeDocument/2006/relationships/hyperlink" Target="https://www.tableau.com/" TargetMode="External"/><Relationship Id="rId2" Type="http://schemas.openxmlformats.org/officeDocument/2006/relationships/hyperlink" Target="https://aws.amazon.com/" TargetMode="External"/><Relationship Id="rId29" Type="http://schemas.openxmlformats.org/officeDocument/2006/relationships/hyperlink" Target="https://filestage.io/" TargetMode="External"/><Relationship Id="rId24" Type="http://schemas.openxmlformats.org/officeDocument/2006/relationships/hyperlink" Target="https://duo.com/" TargetMode="External"/><Relationship Id="rId40" Type="http://schemas.openxmlformats.org/officeDocument/2006/relationships/hyperlink" Target="https://www.iotechsys.com/" TargetMode="External"/><Relationship Id="rId45" Type="http://schemas.openxmlformats.org/officeDocument/2006/relationships/hyperlink" Target="https://www.lambdatest.com/" TargetMode="External"/><Relationship Id="rId66" Type="http://schemas.openxmlformats.org/officeDocument/2006/relationships/hyperlink" Target="https://www.nginx.com/pricing/" TargetMode="External"/><Relationship Id="rId87" Type="http://schemas.openxmlformats.org/officeDocument/2006/relationships/hyperlink" Target="https://www.snowflake.com/en/data-cloud/platform/" TargetMode="External"/><Relationship Id="rId110" Type="http://schemas.openxmlformats.org/officeDocument/2006/relationships/hyperlink" Target="https://apps.jci.com/:b:/r/sites/FinOps-SRECommitmentBaseline/Shared%20Documents/MSA/Gartner%20Inc%20Master%20Client%20Agreement.pdf?csf=1&amp;web=1&amp;e=oVslYT" TargetMode="External"/><Relationship Id="rId115" Type="http://schemas.openxmlformats.org/officeDocument/2006/relationships/hyperlink" Target="https://apps.jci.com/:b:/r/sites/FinOps-SRECommitmentBaseline/Shared%20Documents/MSA/IOTech%20MSA.pdf?csf=1&amp;web=1&amp;e=1X0uCF" TargetMode="External"/><Relationship Id="rId61" Type="http://schemas.openxmlformats.org/officeDocument/2006/relationships/hyperlink" Target="https://min.io/product/overview" TargetMode="External"/><Relationship Id="rId82" Type="http://schemas.openxmlformats.org/officeDocument/2006/relationships/hyperlink" Target="https://smartbear.com/blog/" TargetMode="External"/><Relationship Id="rId19" Type="http://schemas.openxmlformats.org/officeDocument/2006/relationships/hyperlink" Target="https://www.teklynx.com/en/products/label-design-solutions/codesoft" TargetMode="External"/><Relationship Id="rId14" Type="http://schemas.openxmlformats.org/officeDocument/2006/relationships/hyperlink" Target="https://aviatrix.com/" TargetMode="External"/><Relationship Id="rId30" Type="http://schemas.openxmlformats.org/officeDocument/2006/relationships/hyperlink" Target="https://www.gartner.com/en" TargetMode="External"/><Relationship Id="rId35" Type="http://schemas.openxmlformats.org/officeDocument/2006/relationships/hyperlink" Target="https://www.ontotext.com/products/graphdb/" TargetMode="External"/><Relationship Id="rId56" Type="http://schemas.openxmlformats.org/officeDocument/2006/relationships/hyperlink" Target="https://www.mathworks.com/" TargetMode="External"/><Relationship Id="rId77" Type="http://schemas.openxmlformats.org/officeDocument/2006/relationships/hyperlink" Target="https://app.powerbi.com/home" TargetMode="External"/><Relationship Id="rId100" Type="http://schemas.openxmlformats.org/officeDocument/2006/relationships/hyperlink" Target="https://www.userinterviews.com/" TargetMode="External"/><Relationship Id="rId105" Type="http://schemas.openxmlformats.org/officeDocument/2006/relationships/hyperlink" Target="https://xirsys.com/pricing/" TargetMode="External"/><Relationship Id="rId126" Type="http://schemas.openxmlformats.org/officeDocument/2006/relationships/printerSettings" Target="../printerSettings/printerSettings1.bin"/><Relationship Id="rId8" Type="http://schemas.openxmlformats.org/officeDocument/2006/relationships/hyperlink" Target="https://www.assent.com/home-2024/" TargetMode="External"/><Relationship Id="rId51" Type="http://schemas.openxmlformats.org/officeDocument/2006/relationships/hyperlink" Target="https://lookerstudio.google.com/overview" TargetMode="External"/><Relationship Id="rId72" Type="http://schemas.openxmlformats.org/officeDocument/2006/relationships/hyperlink" Target="https://www.pagerduty.com/" TargetMode="External"/><Relationship Id="rId93" Type="http://schemas.openxmlformats.org/officeDocument/2006/relationships/hyperlink" Target="https://www.teamviewer.com/" TargetMode="External"/><Relationship Id="rId98" Type="http://schemas.openxmlformats.org/officeDocument/2006/relationships/hyperlink" Target="https://www.twilio.com/en-us/products" TargetMode="External"/><Relationship Id="rId121" Type="http://schemas.openxmlformats.org/officeDocument/2006/relationships/hyperlink" Target="https://apps.jci.com/:b:/r/sites/FinOps-SRECommitmentBaseline/Shared%20Documents/MSA/Salesforce%20MSA%20signed%2001302008-CW1363041-SIGNED%202.pdf?csf=1&amp;web=1&amp;e=pwXC2c" TargetMode="External"/><Relationship Id="rId3" Type="http://schemas.openxmlformats.org/officeDocument/2006/relationships/hyperlink" Target="https://www.anomali.com/" TargetMode="External"/><Relationship Id="rId25" Type="http://schemas.openxmlformats.org/officeDocument/2006/relationships/hyperlink" Target="https://sparxsystems.com/products/ea/" TargetMode="External"/><Relationship Id="rId46" Type="http://schemas.openxmlformats.org/officeDocument/2006/relationships/hyperlink" Target="https://www.lenels2.com/en/" TargetMode="External"/><Relationship Id="rId67" Type="http://schemas.openxmlformats.org/officeDocument/2006/relationships/hyperlink" Target="https://www.tridium.com/content/dam/tridium/en/documents/document-lists/dev/2023-0036-Niagara-Developer-Program.pdf" TargetMode="External"/><Relationship Id="rId116" Type="http://schemas.openxmlformats.org/officeDocument/2006/relationships/hyperlink" Target="https://apps.jci.com/:b:/r/sites/FinOps-SRECommitmentBaseline/Shared%20Documents/MSA/Level%20Access%20MSA.pdf?csf=1&amp;web=1&amp;e=kPY14v" TargetMode="External"/><Relationship Id="rId20" Type="http://schemas.openxmlformats.org/officeDocument/2006/relationships/hyperlink" Target="http://www.datadoghq.com/" TargetMode="External"/><Relationship Id="rId41" Type="http://schemas.openxmlformats.org/officeDocument/2006/relationships/hyperlink" Target="https://ironsoftware.com/" TargetMode="External"/><Relationship Id="rId62" Type="http://schemas.openxmlformats.org/officeDocument/2006/relationships/hyperlink" Target="https://www.mongodb.com/" TargetMode="External"/><Relationship Id="rId83" Type="http://schemas.openxmlformats.org/officeDocument/2006/relationships/hyperlink" Target="https://redpanda.com/" TargetMode="External"/><Relationship Id="rId88" Type="http://schemas.openxmlformats.org/officeDocument/2006/relationships/hyperlink" Target="https://www.solidworks.com/product/students" TargetMode="External"/><Relationship Id="rId111" Type="http://schemas.openxmlformats.org/officeDocument/2006/relationships/hyperlink" Target="https://apps.jci.com/:b:/r/sites/FinOps-SRECommitmentBaseline/Shared%20Documents/MSA/Glassbox%20MSA.pdf?csf=1&amp;web=1&amp;e=x3WzY4" TargetMode="External"/><Relationship Id="rId15" Type="http://schemas.openxmlformats.org/officeDocument/2006/relationships/hyperlink" Target="https://bacnetinternational.org/corporate/" TargetMode="External"/><Relationship Id="rId36" Type="http://schemas.openxmlformats.org/officeDocument/2006/relationships/hyperlink" Target="https://heymarvin.com/" TargetMode="External"/><Relationship Id="rId57" Type="http://schemas.openxmlformats.org/officeDocument/2006/relationships/hyperlink" Target="https://www.mcafee.com/en-in/antivirus/mcafee-total-protection.html?msockid=28ac3f19e55d6252138d2b3de45b63ec" TargetMode="External"/><Relationship Id="rId106" Type="http://schemas.openxmlformats.org/officeDocument/2006/relationships/hyperlink" Target="https://www.yworks.com/" TargetMode="External"/><Relationship Id="rId127" Type="http://schemas.openxmlformats.org/officeDocument/2006/relationships/table" Target="../tables/table1.xml"/><Relationship Id="rId10" Type="http://schemas.openxmlformats.org/officeDocument/2006/relationships/hyperlink" Target="https://www.atlassian.com/" TargetMode="External"/><Relationship Id="rId31" Type="http://schemas.openxmlformats.org/officeDocument/2006/relationships/hyperlink" Target="https://techdocs.broadcom.com/us/en/symantec-security-software/endpoint-security-and-management/ghost-solutions-suite/3-3.html" TargetMode="External"/><Relationship Id="rId52" Type="http://schemas.openxmlformats.org/officeDocument/2006/relationships/hyperlink" Target="https://lucid.co/" TargetMode="External"/><Relationship Id="rId73" Type="http://schemas.openxmlformats.org/officeDocument/2006/relationships/hyperlink" Target="https://pelion.com/" TargetMode="External"/><Relationship Id="rId78" Type="http://schemas.openxmlformats.org/officeDocument/2006/relationships/hyperlink" Target="https://www.princexml.com/" TargetMode="External"/><Relationship Id="rId94" Type="http://schemas.openxmlformats.org/officeDocument/2006/relationships/hyperlink" Target="https://tekton.dev/" TargetMode="External"/><Relationship Id="rId99" Type="http://schemas.openxmlformats.org/officeDocument/2006/relationships/hyperlink" Target="https://ubuntu.com/pro" TargetMode="External"/><Relationship Id="rId101" Type="http://schemas.openxmlformats.org/officeDocument/2006/relationships/hyperlink" Target="https://weblate.org/en/" TargetMode="External"/><Relationship Id="rId122" Type="http://schemas.openxmlformats.org/officeDocument/2006/relationships/hyperlink" Target="https://apps.jci.com/:b:/r/sites/FinOps-SRECommitmentBaseline/Shared%20Documents/MSA/OpenLogic%20aka%20Rogue%20Wave%20aka%20Perforce%20GSA.pdf?csf=1&amp;web=1&amp;e=q0PTHI" TargetMode="External"/><Relationship Id="rId4" Type="http://schemas.openxmlformats.org/officeDocument/2006/relationships/hyperlink" Target="https://antmedia.io/" TargetMode="External"/><Relationship Id="rId9" Type="http://schemas.openxmlformats.org/officeDocument/2006/relationships/hyperlink" Target="https://www.atlassia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07EF-A9F1-4203-AFC9-AD2980D0368B}">
  <dimension ref="A1:W142"/>
  <sheetViews>
    <sheetView tabSelected="1" topLeftCell="A121" workbookViewId="0">
      <selection activeCell="B130" sqref="B130"/>
    </sheetView>
  </sheetViews>
  <sheetFormatPr defaultRowHeight="15" customHeight="1" x14ac:dyDescent="0.25"/>
  <cols>
    <col min="1" max="1" width="31.42578125" bestFit="1" customWidth="1"/>
    <col min="2" max="2" width="31.42578125" customWidth="1"/>
    <col min="3" max="3" width="43.28515625" bestFit="1" customWidth="1"/>
    <col min="4" max="4" width="12.28515625" bestFit="1" customWidth="1"/>
    <col min="5" max="5" width="21.7109375" bestFit="1" customWidth="1"/>
    <col min="6" max="6" width="21.7109375" customWidth="1"/>
    <col min="7" max="7" width="13.42578125" bestFit="1" customWidth="1"/>
    <col min="8" max="8" width="12.28515625" style="9" customWidth="1"/>
    <col min="9" max="9" width="25.140625" bestFit="1" customWidth="1"/>
    <col min="10" max="10" width="9" bestFit="1" customWidth="1"/>
    <col min="11" max="12" width="25.85546875" bestFit="1" customWidth="1"/>
    <col min="13" max="13" width="21.140625" bestFit="1" customWidth="1"/>
    <col min="14" max="14" width="31.7109375" bestFit="1" customWidth="1"/>
    <col min="15" max="15" width="10.7109375" bestFit="1" customWidth="1"/>
    <col min="16" max="16" width="15.140625" bestFit="1" customWidth="1"/>
    <col min="17" max="17" width="34.5703125" bestFit="1" customWidth="1"/>
    <col min="18" max="18" width="36.85546875" bestFit="1" customWidth="1"/>
    <col min="19" max="19" width="34.28515625" bestFit="1" customWidth="1"/>
    <col min="20" max="20" width="13.7109375" customWidth="1"/>
    <col min="21" max="21" width="35.5703125" customWidth="1"/>
    <col min="22" max="22" width="40.140625" customWidth="1"/>
    <col min="23" max="23" width="38.140625" customWidth="1"/>
    <col min="24" max="24" width="16.85546875" customWidth="1"/>
    <col min="25" max="25" width="52.85546875" bestFit="1" customWidth="1"/>
  </cols>
  <sheetData>
    <row r="1" spans="1:23" ht="15" customHeight="1" x14ac:dyDescent="0.25">
      <c r="A1" s="6" t="s">
        <v>0</v>
      </c>
      <c r="B1" s="6" t="s">
        <v>850</v>
      </c>
      <c r="C1" s="6" t="s">
        <v>1</v>
      </c>
      <c r="D1" s="6" t="s">
        <v>2</v>
      </c>
      <c r="E1" s="6" t="s">
        <v>3</v>
      </c>
      <c r="F1" s="6" t="s">
        <v>4</v>
      </c>
      <c r="G1" s="6" t="s">
        <v>5</v>
      </c>
      <c r="H1" s="8" t="s">
        <v>6</v>
      </c>
      <c r="I1" t="s">
        <v>7</v>
      </c>
      <c r="J1" t="s">
        <v>8</v>
      </c>
      <c r="K1" t="s">
        <v>9</v>
      </c>
      <c r="L1" t="s">
        <v>10</v>
      </c>
      <c r="M1" t="s">
        <v>11</v>
      </c>
      <c r="N1" t="s">
        <v>12</v>
      </c>
      <c r="O1" t="s">
        <v>13</v>
      </c>
      <c r="P1" t="s">
        <v>14</v>
      </c>
      <c r="Q1" t="s">
        <v>15</v>
      </c>
      <c r="R1" t="s">
        <v>16</v>
      </c>
      <c r="S1" t="s">
        <v>17</v>
      </c>
      <c r="T1" t="s">
        <v>18</v>
      </c>
      <c r="U1" t="s">
        <v>19</v>
      </c>
      <c r="V1" t="s">
        <v>20</v>
      </c>
      <c r="W1" t="s">
        <v>21</v>
      </c>
    </row>
    <row r="2" spans="1:23" ht="15" customHeight="1" x14ac:dyDescent="0.25">
      <c r="A2" s="1" t="s">
        <v>22</v>
      </c>
      <c r="B2" s="1"/>
      <c r="C2" s="1" t="s">
        <v>23</v>
      </c>
      <c r="D2" s="1"/>
      <c r="E2" s="1" t="s">
        <v>24</v>
      </c>
      <c r="F2" s="1" t="s">
        <v>25</v>
      </c>
      <c r="G2" s="1"/>
      <c r="I2" s="1" t="s">
        <v>26</v>
      </c>
      <c r="J2" s="1" t="s">
        <v>27</v>
      </c>
      <c r="K2" s="1"/>
      <c r="L2" s="1"/>
      <c r="M2" s="1"/>
      <c r="O2" s="1"/>
      <c r="P2" s="1"/>
      <c r="Q2" s="1"/>
      <c r="R2" s="1"/>
      <c r="S2" s="3">
        <v>375</v>
      </c>
      <c r="T2" s="2"/>
      <c r="U2" s="2"/>
    </row>
    <row r="3" spans="1:23" ht="15" customHeight="1" x14ac:dyDescent="0.25">
      <c r="A3" s="1" t="s">
        <v>28</v>
      </c>
      <c r="B3" s="1"/>
      <c r="C3" s="1" t="s">
        <v>29</v>
      </c>
      <c r="D3" s="1" t="s">
        <v>30</v>
      </c>
      <c r="E3" s="1" t="s">
        <v>31</v>
      </c>
      <c r="F3" s="1" t="s">
        <v>32</v>
      </c>
      <c r="G3" s="1" t="s">
        <v>33</v>
      </c>
      <c r="H3" s="9" t="s">
        <v>34</v>
      </c>
      <c r="I3" s="1" t="s">
        <v>35</v>
      </c>
      <c r="J3" s="1" t="s">
        <v>27</v>
      </c>
      <c r="K3" s="1" t="s">
        <v>36</v>
      </c>
      <c r="L3" s="1" t="s">
        <v>37</v>
      </c>
      <c r="M3" s="1"/>
      <c r="N3">
        <v>100</v>
      </c>
      <c r="O3" s="1" t="s">
        <v>30</v>
      </c>
      <c r="P3" s="1" t="s">
        <v>38</v>
      </c>
      <c r="Q3" s="1"/>
      <c r="R3" s="1"/>
      <c r="S3" s="3">
        <v>130</v>
      </c>
      <c r="T3" s="2" t="s">
        <v>39</v>
      </c>
      <c r="U3" s="2"/>
    </row>
    <row r="4" spans="1:23" ht="15" customHeight="1" x14ac:dyDescent="0.25">
      <c r="A4" s="1" t="s">
        <v>40</v>
      </c>
      <c r="B4" s="1"/>
      <c r="C4" s="1" t="s">
        <v>41</v>
      </c>
      <c r="D4" s="1" t="s">
        <v>42</v>
      </c>
      <c r="E4" s="1" t="s">
        <v>43</v>
      </c>
      <c r="F4" s="1" t="s">
        <v>25</v>
      </c>
      <c r="G4" s="1" t="s">
        <v>33</v>
      </c>
      <c r="H4" s="9" t="s">
        <v>44</v>
      </c>
      <c r="I4" s="1" t="s">
        <v>26</v>
      </c>
      <c r="J4" s="1" t="s">
        <v>27</v>
      </c>
      <c r="K4" s="1" t="s">
        <v>45</v>
      </c>
      <c r="L4" s="1"/>
      <c r="M4" s="1"/>
      <c r="O4" s="1"/>
      <c r="P4" s="1"/>
      <c r="Q4" s="1"/>
      <c r="R4" s="1"/>
      <c r="S4" s="3">
        <v>444</v>
      </c>
      <c r="T4" s="2"/>
      <c r="U4" s="2"/>
    </row>
    <row r="5" spans="1:23" ht="15" customHeight="1" x14ac:dyDescent="0.25">
      <c r="A5" s="1" t="s">
        <v>46</v>
      </c>
      <c r="B5" s="1"/>
      <c r="C5" s="1" t="s">
        <v>47</v>
      </c>
      <c r="D5" s="1" t="s">
        <v>48</v>
      </c>
      <c r="E5" s="1" t="s">
        <v>49</v>
      </c>
      <c r="F5" s="1" t="s">
        <v>50</v>
      </c>
      <c r="G5" s="1" t="s">
        <v>33</v>
      </c>
      <c r="H5" s="9" t="s">
        <v>51</v>
      </c>
      <c r="I5" s="1" t="s">
        <v>35</v>
      </c>
      <c r="J5" s="1" t="s">
        <v>27</v>
      </c>
      <c r="K5" s="1" t="s">
        <v>36</v>
      </c>
      <c r="L5" s="1" t="s">
        <v>37</v>
      </c>
      <c r="M5" s="1" t="s">
        <v>52</v>
      </c>
      <c r="N5">
        <v>0</v>
      </c>
      <c r="O5" s="5" t="s">
        <v>53</v>
      </c>
      <c r="P5" s="1" t="s">
        <v>54</v>
      </c>
      <c r="Q5" s="1"/>
      <c r="R5" s="1"/>
      <c r="S5" s="3">
        <v>128</v>
      </c>
      <c r="T5" s="2" t="s">
        <v>55</v>
      </c>
      <c r="U5" s="2" t="s">
        <v>56</v>
      </c>
    </row>
    <row r="6" spans="1:23" ht="15" customHeight="1" x14ac:dyDescent="0.25">
      <c r="A6" s="1" t="s">
        <v>57</v>
      </c>
      <c r="B6" s="1"/>
      <c r="C6" s="1" t="s">
        <v>58</v>
      </c>
      <c r="D6" s="1" t="s">
        <v>48</v>
      </c>
      <c r="E6" s="1" t="s">
        <v>31</v>
      </c>
      <c r="F6" s="1" t="s">
        <v>25</v>
      </c>
      <c r="G6" s="1"/>
      <c r="H6" s="9" t="s">
        <v>59</v>
      </c>
      <c r="I6" s="1" t="s">
        <v>60</v>
      </c>
      <c r="J6" s="5" t="s">
        <v>27</v>
      </c>
      <c r="K6" s="1"/>
      <c r="L6" s="1"/>
      <c r="M6" s="1"/>
      <c r="O6" s="1"/>
      <c r="P6" s="1"/>
      <c r="Q6" s="1"/>
      <c r="R6" s="1"/>
      <c r="S6" s="3">
        <v>402</v>
      </c>
      <c r="T6" s="2"/>
      <c r="U6" s="2" t="s">
        <v>61</v>
      </c>
      <c r="V6" s="4" t="s">
        <v>62</v>
      </c>
    </row>
    <row r="7" spans="1:23" ht="15" customHeight="1" x14ac:dyDescent="0.25">
      <c r="A7" s="1" t="s">
        <v>63</v>
      </c>
      <c r="B7" s="1"/>
      <c r="C7" s="1" t="s">
        <v>64</v>
      </c>
      <c r="D7" s="1" t="s">
        <v>30</v>
      </c>
      <c r="E7" s="1" t="s">
        <v>65</v>
      </c>
      <c r="F7" s="1"/>
      <c r="G7" s="1" t="s">
        <v>33</v>
      </c>
      <c r="I7" s="1" t="s">
        <v>60</v>
      </c>
      <c r="J7" s="1" t="s">
        <v>27</v>
      </c>
      <c r="K7" s="1"/>
      <c r="L7" s="1"/>
      <c r="M7" s="1"/>
      <c r="O7" s="1"/>
      <c r="P7" s="1"/>
      <c r="Q7" s="1"/>
      <c r="R7" s="1"/>
      <c r="S7" s="3">
        <v>390</v>
      </c>
      <c r="T7" s="2"/>
      <c r="U7" s="2" t="s">
        <v>66</v>
      </c>
      <c r="V7" s="4" t="s">
        <v>67</v>
      </c>
    </row>
    <row r="8" spans="1:23" ht="15" customHeight="1" x14ac:dyDescent="0.25">
      <c r="A8" s="1" t="s">
        <v>68</v>
      </c>
      <c r="B8" s="1"/>
      <c r="C8" s="1" t="s">
        <v>68</v>
      </c>
      <c r="D8" s="1" t="s">
        <v>48</v>
      </c>
      <c r="E8" s="1" t="s">
        <v>31</v>
      </c>
      <c r="F8" s="1" t="s">
        <v>25</v>
      </c>
      <c r="G8" s="1"/>
      <c r="H8" s="9" t="s">
        <v>69</v>
      </c>
      <c r="I8" s="1" t="s">
        <v>26</v>
      </c>
      <c r="J8" s="5" t="s">
        <v>27</v>
      </c>
      <c r="K8" s="1"/>
      <c r="L8" s="1"/>
      <c r="M8" s="1"/>
      <c r="O8" s="1"/>
      <c r="P8" s="1"/>
      <c r="Q8" s="1"/>
      <c r="R8" s="1"/>
      <c r="S8" s="3">
        <v>426</v>
      </c>
      <c r="T8" s="2"/>
      <c r="U8" s="2" t="s">
        <v>70</v>
      </c>
      <c r="V8" s="4" t="s">
        <v>71</v>
      </c>
    </row>
    <row r="9" spans="1:23" ht="15" customHeight="1" x14ac:dyDescent="0.25">
      <c r="A9" s="1" t="s">
        <v>72</v>
      </c>
      <c r="B9" s="1"/>
      <c r="C9" s="1" t="s">
        <v>72</v>
      </c>
      <c r="D9" s="1" t="s">
        <v>30</v>
      </c>
      <c r="E9" s="1" t="s">
        <v>31</v>
      </c>
      <c r="F9" s="1" t="s">
        <v>50</v>
      </c>
      <c r="G9" s="1" t="s">
        <v>33</v>
      </c>
      <c r="H9" s="9" t="s">
        <v>73</v>
      </c>
      <c r="I9" s="1" t="s">
        <v>35</v>
      </c>
      <c r="J9" s="1" t="s">
        <v>27</v>
      </c>
      <c r="K9" s="1" t="s">
        <v>74</v>
      </c>
      <c r="L9" s="1" t="s">
        <v>75</v>
      </c>
      <c r="M9" s="1"/>
      <c r="N9">
        <v>67</v>
      </c>
      <c r="O9" s="1" t="s">
        <v>30</v>
      </c>
      <c r="P9" s="1"/>
      <c r="Q9" s="1"/>
      <c r="R9" s="1"/>
      <c r="S9" s="3">
        <v>133</v>
      </c>
      <c r="T9" s="2" t="s">
        <v>76</v>
      </c>
      <c r="U9" s="2" t="s">
        <v>77</v>
      </c>
      <c r="V9" s="4" t="s">
        <v>78</v>
      </c>
    </row>
    <row r="10" spans="1:23" ht="15" customHeight="1" x14ac:dyDescent="0.25">
      <c r="A10" s="1" t="s">
        <v>79</v>
      </c>
      <c r="B10" s="1"/>
      <c r="C10" s="1" t="s">
        <v>80</v>
      </c>
      <c r="D10" s="1" t="s">
        <v>30</v>
      </c>
      <c r="E10" s="1" t="s">
        <v>31</v>
      </c>
      <c r="F10" s="1" t="s">
        <v>50</v>
      </c>
      <c r="G10" s="1" t="s">
        <v>33</v>
      </c>
      <c r="H10" s="9" t="s">
        <v>81</v>
      </c>
      <c r="I10" s="1" t="s">
        <v>82</v>
      </c>
      <c r="J10" s="1" t="s">
        <v>27</v>
      </c>
      <c r="K10" s="1" t="s">
        <v>83</v>
      </c>
      <c r="L10" s="1"/>
      <c r="M10" s="1"/>
      <c r="O10" s="1"/>
      <c r="P10" s="1" t="s">
        <v>84</v>
      </c>
      <c r="Q10" s="1" t="s">
        <v>85</v>
      </c>
      <c r="R10" s="1"/>
      <c r="S10" s="3">
        <v>360</v>
      </c>
      <c r="T10" s="2" t="s">
        <v>86</v>
      </c>
      <c r="U10" s="2" t="s">
        <v>87</v>
      </c>
      <c r="V10" s="4" t="s">
        <v>88</v>
      </c>
    </row>
    <row r="11" spans="1:23" ht="15" customHeight="1" x14ac:dyDescent="0.25">
      <c r="A11" s="1" t="s">
        <v>89</v>
      </c>
      <c r="B11" s="1"/>
      <c r="C11" s="1" t="s">
        <v>90</v>
      </c>
      <c r="D11" s="1"/>
      <c r="E11" s="1" t="s">
        <v>91</v>
      </c>
      <c r="F11" s="1" t="s">
        <v>25</v>
      </c>
      <c r="G11" s="1"/>
      <c r="I11" s="1" t="s">
        <v>26</v>
      </c>
      <c r="J11" s="1" t="s">
        <v>27</v>
      </c>
      <c r="K11" s="1"/>
      <c r="L11" s="1"/>
      <c r="M11" s="1"/>
      <c r="O11" s="1"/>
      <c r="P11" s="1" t="s">
        <v>54</v>
      </c>
      <c r="Q11" s="1" t="s">
        <v>92</v>
      </c>
      <c r="R11" s="1"/>
      <c r="S11" s="3">
        <v>376</v>
      </c>
      <c r="T11" s="2"/>
      <c r="U11" s="2" t="s">
        <v>93</v>
      </c>
      <c r="V11" s="4" t="s">
        <v>94</v>
      </c>
    </row>
    <row r="12" spans="1:23" ht="15" customHeight="1" x14ac:dyDescent="0.25">
      <c r="A12" s="1" t="s">
        <v>95</v>
      </c>
      <c r="B12" s="1"/>
      <c r="C12" s="1" t="s">
        <v>96</v>
      </c>
      <c r="D12" s="1" t="s">
        <v>30</v>
      </c>
      <c r="E12" s="1" t="s">
        <v>31</v>
      </c>
      <c r="F12" s="1" t="s">
        <v>50</v>
      </c>
      <c r="G12" s="1" t="s">
        <v>33</v>
      </c>
      <c r="H12" s="9" t="s">
        <v>97</v>
      </c>
      <c r="I12" s="1" t="s">
        <v>35</v>
      </c>
      <c r="J12" s="1" t="s">
        <v>27</v>
      </c>
      <c r="K12" s="1" t="s">
        <v>98</v>
      </c>
      <c r="L12" s="1" t="s">
        <v>75</v>
      </c>
      <c r="M12" s="1"/>
      <c r="O12" s="1"/>
      <c r="P12" s="1"/>
      <c r="Q12" s="1" t="s">
        <v>99</v>
      </c>
      <c r="R12" s="1" t="s">
        <v>100</v>
      </c>
      <c r="S12" s="3">
        <v>156</v>
      </c>
      <c r="T12" s="2" t="s">
        <v>101</v>
      </c>
      <c r="U12" s="2" t="s">
        <v>102</v>
      </c>
      <c r="V12" s="4" t="s">
        <v>103</v>
      </c>
      <c r="W12" s="4" t="s">
        <v>104</v>
      </c>
    </row>
    <row r="13" spans="1:23" ht="15" customHeight="1" x14ac:dyDescent="0.25">
      <c r="A13" s="1" t="s">
        <v>105</v>
      </c>
      <c r="B13" s="1"/>
      <c r="C13" s="1" t="s">
        <v>106</v>
      </c>
      <c r="D13" s="1" t="s">
        <v>107</v>
      </c>
      <c r="E13" s="1" t="s">
        <v>31</v>
      </c>
      <c r="F13" s="1" t="s">
        <v>50</v>
      </c>
      <c r="G13" s="1" t="s">
        <v>33</v>
      </c>
      <c r="H13" s="9" t="s">
        <v>108</v>
      </c>
      <c r="I13" s="1" t="s">
        <v>35</v>
      </c>
      <c r="J13" s="1" t="s">
        <v>27</v>
      </c>
      <c r="K13" s="1" t="s">
        <v>36</v>
      </c>
      <c r="L13" s="1" t="s">
        <v>37</v>
      </c>
      <c r="M13" s="1" t="s">
        <v>109</v>
      </c>
      <c r="N13">
        <v>25</v>
      </c>
      <c r="O13" s="1" t="s">
        <v>110</v>
      </c>
      <c r="P13" s="1"/>
      <c r="Q13" s="1" t="s">
        <v>92</v>
      </c>
      <c r="R13" s="1" t="s">
        <v>111</v>
      </c>
      <c r="S13" s="3">
        <v>89</v>
      </c>
      <c r="T13" s="2"/>
      <c r="U13" s="2"/>
    </row>
    <row r="14" spans="1:23" ht="15" customHeight="1" x14ac:dyDescent="0.25">
      <c r="A14" s="1" t="s">
        <v>112</v>
      </c>
      <c r="B14" s="1" t="s">
        <v>852</v>
      </c>
      <c r="C14" s="1" t="s">
        <v>113</v>
      </c>
      <c r="D14" s="1"/>
      <c r="E14" s="1" t="s">
        <v>31</v>
      </c>
      <c r="F14" s="1" t="s">
        <v>25</v>
      </c>
      <c r="G14" s="1"/>
      <c r="I14" s="1" t="s">
        <v>60</v>
      </c>
      <c r="J14" s="1" t="s">
        <v>27</v>
      </c>
      <c r="K14" s="1"/>
      <c r="L14" s="1"/>
      <c r="M14" s="1"/>
      <c r="O14" s="1"/>
      <c r="P14" s="1"/>
      <c r="Q14" s="1"/>
      <c r="R14" s="1"/>
      <c r="S14" s="3">
        <v>410</v>
      </c>
      <c r="T14" s="2"/>
      <c r="U14" s="2" t="s">
        <v>114</v>
      </c>
      <c r="V14" s="4" t="s">
        <v>115</v>
      </c>
    </row>
    <row r="15" spans="1:23" ht="15" customHeight="1" x14ac:dyDescent="0.25">
      <c r="A15" s="1" t="s">
        <v>40</v>
      </c>
      <c r="B15" s="1"/>
      <c r="C15" s="1" t="s">
        <v>116</v>
      </c>
      <c r="D15" s="1" t="s">
        <v>48</v>
      </c>
      <c r="E15" s="1" t="s">
        <v>43</v>
      </c>
      <c r="F15" s="1" t="s">
        <v>50</v>
      </c>
      <c r="G15" s="1" t="s">
        <v>59</v>
      </c>
      <c r="H15" s="9" t="s">
        <v>117</v>
      </c>
      <c r="I15" s="1" t="s">
        <v>35</v>
      </c>
      <c r="J15" s="1" t="s">
        <v>27</v>
      </c>
      <c r="K15" s="1" t="s">
        <v>118</v>
      </c>
      <c r="L15" s="1" t="s">
        <v>75</v>
      </c>
      <c r="M15" s="1"/>
      <c r="N15">
        <v>0</v>
      </c>
      <c r="O15" s="5" t="s">
        <v>53</v>
      </c>
      <c r="P15" s="1" t="s">
        <v>119</v>
      </c>
      <c r="Q15" s="1" t="s">
        <v>120</v>
      </c>
      <c r="R15" s="1"/>
      <c r="S15" s="3">
        <v>96</v>
      </c>
      <c r="T15" s="2"/>
      <c r="U15" s="2" t="s">
        <v>121</v>
      </c>
      <c r="V15" s="4" t="s">
        <v>122</v>
      </c>
    </row>
    <row r="16" spans="1:23" ht="15" customHeight="1" x14ac:dyDescent="0.25">
      <c r="A16" s="1" t="s">
        <v>40</v>
      </c>
      <c r="B16" s="1"/>
      <c r="C16" s="1" t="s">
        <v>123</v>
      </c>
      <c r="D16" s="1" t="s">
        <v>48</v>
      </c>
      <c r="E16" s="1" t="s">
        <v>43</v>
      </c>
      <c r="F16" s="1" t="s">
        <v>25</v>
      </c>
      <c r="G16" s="1" t="s">
        <v>124</v>
      </c>
      <c r="H16" s="9" t="s">
        <v>125</v>
      </c>
      <c r="I16" s="1" t="s">
        <v>26</v>
      </c>
      <c r="J16" s="1" t="s">
        <v>27</v>
      </c>
      <c r="K16" s="1" t="s">
        <v>126</v>
      </c>
      <c r="L16" s="1"/>
      <c r="M16" s="1"/>
      <c r="O16" s="1"/>
      <c r="P16" s="1"/>
      <c r="Q16" s="1"/>
      <c r="R16" s="1"/>
      <c r="S16" s="3">
        <v>395</v>
      </c>
      <c r="T16" s="2" t="s">
        <v>127</v>
      </c>
      <c r="U16" s="2" t="s">
        <v>121</v>
      </c>
      <c r="V16" s="4" t="s">
        <v>122</v>
      </c>
    </row>
    <row r="17" spans="1:23" ht="15" customHeight="1" x14ac:dyDescent="0.25">
      <c r="A17" s="1" t="s">
        <v>89</v>
      </c>
      <c r="B17" s="1" t="s">
        <v>854</v>
      </c>
      <c r="C17" s="1" t="s">
        <v>128</v>
      </c>
      <c r="D17" s="1" t="s">
        <v>48</v>
      </c>
      <c r="E17" s="1" t="s">
        <v>129</v>
      </c>
      <c r="F17" s="1" t="s">
        <v>50</v>
      </c>
      <c r="G17" s="1" t="s">
        <v>130</v>
      </c>
      <c r="H17" s="9" t="s">
        <v>131</v>
      </c>
      <c r="I17" s="1" t="s">
        <v>35</v>
      </c>
      <c r="J17" s="1" t="s">
        <v>27</v>
      </c>
      <c r="K17" s="1" t="s">
        <v>132</v>
      </c>
      <c r="L17" s="1"/>
      <c r="M17" s="1"/>
      <c r="O17" s="1"/>
      <c r="P17" s="1" t="s">
        <v>54</v>
      </c>
      <c r="Q17" s="1" t="s">
        <v>92</v>
      </c>
      <c r="R17" s="1"/>
      <c r="S17" s="3">
        <v>368</v>
      </c>
      <c r="T17" s="2"/>
      <c r="U17" s="2" t="s">
        <v>133</v>
      </c>
      <c r="V17" s="4" t="s">
        <v>134</v>
      </c>
    </row>
    <row r="18" spans="1:23" ht="15" customHeight="1" x14ac:dyDescent="0.25">
      <c r="A18" s="1" t="s">
        <v>135</v>
      </c>
      <c r="B18" s="1" t="s">
        <v>855</v>
      </c>
      <c r="C18" s="1" t="s">
        <v>136</v>
      </c>
      <c r="D18" s="1"/>
      <c r="E18" s="1" t="s">
        <v>31</v>
      </c>
      <c r="F18" s="1" t="s">
        <v>25</v>
      </c>
      <c r="G18" s="1"/>
      <c r="H18" s="9" t="s">
        <v>137</v>
      </c>
      <c r="I18" s="1" t="s">
        <v>60</v>
      </c>
      <c r="J18" s="1" t="s">
        <v>27</v>
      </c>
      <c r="K18" s="1"/>
      <c r="L18" s="1"/>
      <c r="M18" s="1"/>
      <c r="O18" s="1"/>
      <c r="P18" s="1"/>
      <c r="Q18" s="1"/>
      <c r="R18" s="1"/>
      <c r="S18" s="3">
        <v>393</v>
      </c>
      <c r="T18" s="2"/>
      <c r="U18" s="2" t="s">
        <v>138</v>
      </c>
      <c r="V18" s="4" t="s">
        <v>139</v>
      </c>
    </row>
    <row r="19" spans="1:23" ht="15" customHeight="1" x14ac:dyDescent="0.25">
      <c r="A19" s="1" t="s">
        <v>140</v>
      </c>
      <c r="B19" s="1" t="s">
        <v>853</v>
      </c>
      <c r="C19" s="1" t="s">
        <v>141</v>
      </c>
      <c r="D19" s="1" t="s">
        <v>48</v>
      </c>
      <c r="E19" s="1" t="s">
        <v>142</v>
      </c>
      <c r="F19" s="1" t="s">
        <v>50</v>
      </c>
      <c r="G19" s="1"/>
      <c r="H19" s="9" t="s">
        <v>137</v>
      </c>
      <c r="I19" s="1" t="s">
        <v>143</v>
      </c>
      <c r="J19" s="1" t="s">
        <v>27</v>
      </c>
      <c r="K19" s="1" t="s">
        <v>144</v>
      </c>
      <c r="L19" s="1"/>
      <c r="M19" s="1"/>
      <c r="O19" s="1"/>
      <c r="P19" s="1"/>
      <c r="Q19" s="1"/>
      <c r="R19" s="1"/>
      <c r="S19" s="3">
        <v>459</v>
      </c>
      <c r="T19" s="2"/>
      <c r="U19" s="2" t="s">
        <v>145</v>
      </c>
      <c r="V19" s="4" t="s">
        <v>146</v>
      </c>
    </row>
    <row r="20" spans="1:23" ht="15" customHeight="1" x14ac:dyDescent="0.25">
      <c r="A20" s="1" t="s">
        <v>147</v>
      </c>
      <c r="B20" s="1"/>
      <c r="C20" s="1" t="s">
        <v>148</v>
      </c>
      <c r="D20" s="1" t="s">
        <v>30</v>
      </c>
      <c r="E20" s="1" t="s">
        <v>31</v>
      </c>
      <c r="F20" s="1" t="s">
        <v>50</v>
      </c>
      <c r="G20" s="1" t="s">
        <v>33</v>
      </c>
      <c r="H20" s="9" t="s">
        <v>149</v>
      </c>
      <c r="I20" s="1" t="s">
        <v>35</v>
      </c>
      <c r="J20" s="1" t="s">
        <v>27</v>
      </c>
      <c r="K20" s="1" t="s">
        <v>150</v>
      </c>
      <c r="L20" s="1" t="s">
        <v>37</v>
      </c>
      <c r="M20" s="1" t="s">
        <v>151</v>
      </c>
      <c r="N20">
        <v>70</v>
      </c>
      <c r="O20" s="1" t="s">
        <v>110</v>
      </c>
      <c r="P20" s="1" t="s">
        <v>119</v>
      </c>
      <c r="Q20" s="1" t="s">
        <v>152</v>
      </c>
      <c r="R20" s="1" t="s">
        <v>100</v>
      </c>
      <c r="S20" s="3">
        <v>74</v>
      </c>
      <c r="T20" s="2" t="s">
        <v>153</v>
      </c>
      <c r="U20" s="2" t="s">
        <v>154</v>
      </c>
      <c r="V20" s="4" t="s">
        <v>155</v>
      </c>
    </row>
    <row r="21" spans="1:23" ht="15" customHeight="1" x14ac:dyDescent="0.25">
      <c r="A21" s="1" t="s">
        <v>63</v>
      </c>
      <c r="B21" s="1"/>
      <c r="C21" s="1" t="s">
        <v>156</v>
      </c>
      <c r="D21" s="1" t="s">
        <v>30</v>
      </c>
      <c r="E21" s="1" t="s">
        <v>65</v>
      </c>
      <c r="F21" s="1"/>
      <c r="G21" s="1" t="s">
        <v>33</v>
      </c>
      <c r="H21" s="9" t="s">
        <v>157</v>
      </c>
      <c r="I21" s="1" t="s">
        <v>82</v>
      </c>
      <c r="J21" s="1" t="s">
        <v>27</v>
      </c>
      <c r="K21" s="1" t="s">
        <v>36</v>
      </c>
      <c r="L21" s="1"/>
      <c r="M21" s="1"/>
      <c r="N21">
        <v>100</v>
      </c>
      <c r="O21" s="1"/>
      <c r="P21" s="1" t="s">
        <v>158</v>
      </c>
      <c r="Q21" s="1" t="s">
        <v>85</v>
      </c>
      <c r="R21" s="1"/>
      <c r="S21" s="3">
        <v>173</v>
      </c>
      <c r="T21" s="2"/>
      <c r="U21" s="2"/>
    </row>
    <row r="22" spans="1:23" ht="15" customHeight="1" x14ac:dyDescent="0.25">
      <c r="A22" s="1" t="s">
        <v>159</v>
      </c>
      <c r="B22" s="1"/>
      <c r="C22" s="1" t="s">
        <v>160</v>
      </c>
      <c r="D22" s="1" t="s">
        <v>161</v>
      </c>
      <c r="E22" s="1" t="s">
        <v>162</v>
      </c>
      <c r="F22" s="1"/>
      <c r="G22" s="1" t="s">
        <v>33</v>
      </c>
      <c r="H22" s="9" t="s">
        <v>163</v>
      </c>
      <c r="I22" s="1" t="s">
        <v>82</v>
      </c>
      <c r="J22" s="1" t="s">
        <v>27</v>
      </c>
      <c r="K22" s="1" t="s">
        <v>164</v>
      </c>
      <c r="L22" s="1"/>
      <c r="M22" s="1"/>
      <c r="O22" s="1"/>
      <c r="P22" s="1"/>
      <c r="Q22" s="1"/>
      <c r="R22" s="1"/>
      <c r="S22" s="3">
        <v>281</v>
      </c>
      <c r="T22" s="2" t="s">
        <v>165</v>
      </c>
      <c r="U22" s="2" t="s">
        <v>166</v>
      </c>
      <c r="V22" s="4" t="s">
        <v>167</v>
      </c>
    </row>
    <row r="23" spans="1:23" ht="15" customHeight="1" x14ac:dyDescent="0.25">
      <c r="A23" s="1" t="s">
        <v>168</v>
      </c>
      <c r="B23" s="1"/>
      <c r="C23" s="1" t="s">
        <v>169</v>
      </c>
      <c r="D23" s="1" t="s">
        <v>48</v>
      </c>
      <c r="E23" s="1" t="s">
        <v>49</v>
      </c>
      <c r="F23" s="1" t="s">
        <v>50</v>
      </c>
      <c r="G23" s="1" t="s">
        <v>33</v>
      </c>
      <c r="H23" s="9" t="s">
        <v>170</v>
      </c>
      <c r="I23" s="1" t="s">
        <v>82</v>
      </c>
      <c r="J23" s="1" t="s">
        <v>27</v>
      </c>
      <c r="K23" s="1" t="s">
        <v>171</v>
      </c>
      <c r="L23" s="1"/>
      <c r="M23" s="1"/>
      <c r="N23">
        <v>0</v>
      </c>
      <c r="O23" s="1"/>
      <c r="P23" s="1"/>
      <c r="Q23" s="1"/>
      <c r="R23" s="1"/>
      <c r="S23" s="3">
        <v>340</v>
      </c>
      <c r="T23" s="2" t="s">
        <v>172</v>
      </c>
      <c r="U23" s="2" t="s">
        <v>173</v>
      </c>
      <c r="V23" s="4" t="s">
        <v>174</v>
      </c>
    </row>
    <row r="24" spans="1:23" ht="15" customHeight="1" x14ac:dyDescent="0.25">
      <c r="A24" s="1" t="s">
        <v>40</v>
      </c>
      <c r="B24" s="1" t="s">
        <v>856</v>
      </c>
      <c r="C24" s="1" t="s">
        <v>175</v>
      </c>
      <c r="D24" s="1" t="s">
        <v>48</v>
      </c>
      <c r="E24" s="1" t="s">
        <v>43</v>
      </c>
      <c r="F24" s="1" t="s">
        <v>25</v>
      </c>
      <c r="G24" s="1" t="s">
        <v>176</v>
      </c>
      <c r="H24" s="9" t="s">
        <v>177</v>
      </c>
      <c r="I24" s="1" t="s">
        <v>26</v>
      </c>
      <c r="J24" s="1" t="s">
        <v>27</v>
      </c>
      <c r="K24" s="1"/>
      <c r="L24" s="1"/>
      <c r="M24" s="1"/>
      <c r="O24" s="1"/>
      <c r="P24" s="1" t="s">
        <v>119</v>
      </c>
      <c r="Q24" s="1" t="s">
        <v>120</v>
      </c>
      <c r="R24" s="1"/>
      <c r="S24" s="3">
        <v>372</v>
      </c>
      <c r="T24" s="2"/>
      <c r="U24" s="2" t="s">
        <v>178</v>
      </c>
      <c r="V24" s="4" t="s">
        <v>179</v>
      </c>
    </row>
    <row r="25" spans="1:23" ht="15" customHeight="1" x14ac:dyDescent="0.25">
      <c r="A25" s="1" t="s">
        <v>180</v>
      </c>
      <c r="B25" s="1"/>
      <c r="C25" s="1" t="s">
        <v>180</v>
      </c>
      <c r="D25" s="1" t="s">
        <v>30</v>
      </c>
      <c r="E25" s="1" t="s">
        <v>31</v>
      </c>
      <c r="F25" s="1" t="s">
        <v>50</v>
      </c>
      <c r="G25" s="1" t="s">
        <v>33</v>
      </c>
      <c r="H25" s="9" t="s">
        <v>181</v>
      </c>
      <c r="I25" s="1" t="s">
        <v>35</v>
      </c>
      <c r="J25" s="1" t="s">
        <v>27</v>
      </c>
      <c r="K25" s="1" t="s">
        <v>182</v>
      </c>
      <c r="L25" s="1" t="s">
        <v>75</v>
      </c>
      <c r="M25" s="1"/>
      <c r="O25" s="1" t="s">
        <v>30</v>
      </c>
      <c r="P25" s="1"/>
      <c r="Q25" s="1"/>
      <c r="R25" s="1"/>
      <c r="S25" s="3">
        <v>134</v>
      </c>
      <c r="T25" s="2" t="s">
        <v>183</v>
      </c>
      <c r="U25" s="2" t="s">
        <v>184</v>
      </c>
      <c r="V25" s="4" t="s">
        <v>185</v>
      </c>
    </row>
    <row r="26" spans="1:23" ht="15" customHeight="1" x14ac:dyDescent="0.25">
      <c r="A26" s="1" t="s">
        <v>186</v>
      </c>
      <c r="B26" s="1" t="s">
        <v>851</v>
      </c>
      <c r="C26" s="1" t="s">
        <v>187</v>
      </c>
      <c r="D26" s="1" t="s">
        <v>48</v>
      </c>
      <c r="E26" s="1" t="s">
        <v>49</v>
      </c>
      <c r="F26" s="1" t="s">
        <v>50</v>
      </c>
      <c r="G26" s="1"/>
      <c r="H26" s="9" t="s">
        <v>188</v>
      </c>
      <c r="I26" s="1" t="s">
        <v>82</v>
      </c>
      <c r="J26" s="1" t="s">
        <v>27</v>
      </c>
      <c r="K26" s="1" t="s">
        <v>189</v>
      </c>
      <c r="L26" s="1"/>
      <c r="M26" s="1"/>
      <c r="O26" s="1"/>
      <c r="P26" s="1" t="s">
        <v>38</v>
      </c>
      <c r="Q26" s="1"/>
      <c r="R26" s="1"/>
      <c r="S26" s="3">
        <v>349</v>
      </c>
      <c r="T26" s="2" t="s">
        <v>190</v>
      </c>
      <c r="U26" s="2" t="s">
        <v>191</v>
      </c>
      <c r="V26" s="4" t="s">
        <v>192</v>
      </c>
    </row>
    <row r="27" spans="1:23" ht="15" customHeight="1" x14ac:dyDescent="0.25">
      <c r="A27" s="1" t="s">
        <v>193</v>
      </c>
      <c r="B27" s="1"/>
      <c r="C27" s="1" t="s">
        <v>194</v>
      </c>
      <c r="D27" s="1" t="s">
        <v>30</v>
      </c>
      <c r="E27" s="1" t="s">
        <v>31</v>
      </c>
      <c r="F27" s="1" t="s">
        <v>50</v>
      </c>
      <c r="G27" s="1" t="s">
        <v>33</v>
      </c>
      <c r="H27" s="9" t="s">
        <v>195</v>
      </c>
      <c r="I27" s="1" t="s">
        <v>35</v>
      </c>
      <c r="J27" s="1" t="s">
        <v>27</v>
      </c>
      <c r="K27" s="1" t="s">
        <v>36</v>
      </c>
      <c r="L27" s="1" t="s">
        <v>37</v>
      </c>
      <c r="M27" s="1"/>
      <c r="N27">
        <v>70</v>
      </c>
      <c r="O27" s="1" t="s">
        <v>30</v>
      </c>
      <c r="P27" s="1" t="s">
        <v>84</v>
      </c>
      <c r="Q27" s="1" t="s">
        <v>120</v>
      </c>
      <c r="R27" s="1"/>
      <c r="S27" s="3">
        <v>75</v>
      </c>
      <c r="T27" s="2" t="s">
        <v>196</v>
      </c>
      <c r="U27" s="2" t="s">
        <v>197</v>
      </c>
      <c r="V27" s="4" t="s">
        <v>198</v>
      </c>
      <c r="W27" s="4" t="s">
        <v>199</v>
      </c>
    </row>
    <row r="28" spans="1:23" ht="15" customHeight="1" x14ac:dyDescent="0.25">
      <c r="A28" s="1" t="s">
        <v>193</v>
      </c>
      <c r="B28" s="1"/>
      <c r="C28" s="1" t="s">
        <v>200</v>
      </c>
      <c r="D28" s="1" t="s">
        <v>30</v>
      </c>
      <c r="E28" s="1" t="s">
        <v>31</v>
      </c>
      <c r="F28" s="1" t="s">
        <v>25</v>
      </c>
      <c r="G28" s="1" t="s">
        <v>33</v>
      </c>
      <c r="H28" s="9" t="s">
        <v>201</v>
      </c>
      <c r="I28" s="1" t="s">
        <v>202</v>
      </c>
      <c r="J28" s="1" t="s">
        <v>27</v>
      </c>
      <c r="K28" s="1" t="s">
        <v>203</v>
      </c>
      <c r="L28" s="1"/>
      <c r="M28" s="1"/>
      <c r="O28" s="1"/>
      <c r="P28" s="1"/>
      <c r="Q28" s="1"/>
      <c r="R28" s="1"/>
      <c r="S28" s="3">
        <v>405</v>
      </c>
      <c r="T28" s="2"/>
      <c r="U28" s="2" t="s">
        <v>197</v>
      </c>
    </row>
    <row r="29" spans="1:23" ht="15" customHeight="1" x14ac:dyDescent="0.25">
      <c r="A29" s="1" t="s">
        <v>204</v>
      </c>
      <c r="B29" s="1"/>
      <c r="C29" s="1" t="s">
        <v>205</v>
      </c>
      <c r="D29" s="1" t="s">
        <v>48</v>
      </c>
      <c r="E29" s="1" t="s">
        <v>49</v>
      </c>
      <c r="F29" s="1" t="s">
        <v>50</v>
      </c>
      <c r="G29" s="1"/>
      <c r="H29" s="9" t="s">
        <v>206</v>
      </c>
      <c r="I29" s="1" t="s">
        <v>82</v>
      </c>
      <c r="J29" s="1" t="s">
        <v>27</v>
      </c>
      <c r="K29" s="1" t="s">
        <v>207</v>
      </c>
      <c r="L29" s="1"/>
      <c r="M29" s="1"/>
      <c r="O29" s="1"/>
      <c r="P29" s="1"/>
      <c r="Q29" s="1"/>
      <c r="R29" s="1"/>
      <c r="S29" s="3">
        <v>332</v>
      </c>
      <c r="T29" s="2" t="s">
        <v>208</v>
      </c>
      <c r="U29" s="2" t="s">
        <v>209</v>
      </c>
      <c r="V29" s="4" t="s">
        <v>210</v>
      </c>
    </row>
    <row r="30" spans="1:23" ht="15" customHeight="1" x14ac:dyDescent="0.25">
      <c r="A30" s="1" t="s">
        <v>211</v>
      </c>
      <c r="B30" s="1"/>
      <c r="C30" s="1" t="s">
        <v>212</v>
      </c>
      <c r="D30" s="1"/>
      <c r="E30" s="1" t="s">
        <v>31</v>
      </c>
      <c r="F30" s="1" t="s">
        <v>25</v>
      </c>
      <c r="G30" s="1"/>
      <c r="H30" s="9" t="s">
        <v>213</v>
      </c>
      <c r="I30" s="1" t="s">
        <v>60</v>
      </c>
      <c r="J30" s="5" t="s">
        <v>27</v>
      </c>
      <c r="K30" s="1"/>
      <c r="L30" s="1"/>
      <c r="M30" s="1"/>
      <c r="O30" s="1"/>
      <c r="P30" s="1"/>
      <c r="Q30" s="1"/>
      <c r="R30" s="1"/>
      <c r="S30" s="3">
        <v>397</v>
      </c>
      <c r="T30" s="2"/>
      <c r="U30" s="2"/>
    </row>
    <row r="31" spans="1:23" ht="15" customHeight="1" x14ac:dyDescent="0.25">
      <c r="A31" s="1" t="s">
        <v>89</v>
      </c>
      <c r="B31" s="1"/>
      <c r="C31" s="1" t="s">
        <v>214</v>
      </c>
      <c r="D31" s="1" t="s">
        <v>48</v>
      </c>
      <c r="E31" s="1" t="s">
        <v>129</v>
      </c>
      <c r="F31" s="1" t="s">
        <v>25</v>
      </c>
      <c r="G31" s="1"/>
      <c r="H31" s="9" t="s">
        <v>215</v>
      </c>
      <c r="I31" s="1" t="s">
        <v>26</v>
      </c>
      <c r="J31" s="1" t="s">
        <v>27</v>
      </c>
      <c r="K31" s="1"/>
      <c r="L31" s="1"/>
      <c r="M31" s="1"/>
      <c r="O31" s="1"/>
      <c r="P31" s="1"/>
      <c r="Q31" s="1"/>
      <c r="R31" s="1"/>
      <c r="S31" s="3">
        <v>416</v>
      </c>
      <c r="T31" s="2"/>
      <c r="U31" s="2"/>
    </row>
    <row r="32" spans="1:23" ht="15" customHeight="1" x14ac:dyDescent="0.25">
      <c r="A32" s="1" t="s">
        <v>216</v>
      </c>
      <c r="B32" s="1"/>
      <c r="C32" s="1" t="s">
        <v>217</v>
      </c>
      <c r="D32" s="1" t="s">
        <v>48</v>
      </c>
      <c r="E32" s="1" t="s">
        <v>142</v>
      </c>
      <c r="F32" s="1" t="s">
        <v>50</v>
      </c>
      <c r="G32" s="1"/>
      <c r="H32" s="9" t="s">
        <v>218</v>
      </c>
      <c r="I32" s="1" t="s">
        <v>35</v>
      </c>
      <c r="J32" s="1" t="s">
        <v>27</v>
      </c>
      <c r="K32" s="1" t="s">
        <v>144</v>
      </c>
      <c r="L32" s="1"/>
      <c r="M32" s="1"/>
      <c r="O32" s="1"/>
      <c r="P32" s="1"/>
      <c r="Q32" s="1"/>
      <c r="R32" s="1"/>
      <c r="S32" s="3">
        <v>461</v>
      </c>
      <c r="T32" s="2" t="s">
        <v>219</v>
      </c>
      <c r="U32" s="2" t="s">
        <v>220</v>
      </c>
      <c r="V32" s="4" t="s">
        <v>221</v>
      </c>
    </row>
    <row r="33" spans="1:23" ht="15" customHeight="1" x14ac:dyDescent="0.25">
      <c r="A33" s="1" t="s">
        <v>222</v>
      </c>
      <c r="B33" s="1"/>
      <c r="C33" s="1" t="s">
        <v>223</v>
      </c>
      <c r="D33" s="1" t="s">
        <v>224</v>
      </c>
      <c r="E33" s="1" t="s">
        <v>162</v>
      </c>
      <c r="F33" s="1"/>
      <c r="G33" s="1" t="s">
        <v>33</v>
      </c>
      <c r="I33" s="1" t="s">
        <v>82</v>
      </c>
      <c r="J33" s="1" t="s">
        <v>27</v>
      </c>
      <c r="K33" s="1" t="s">
        <v>164</v>
      </c>
      <c r="L33" s="1" t="s">
        <v>75</v>
      </c>
      <c r="M33" s="1"/>
      <c r="N33">
        <v>100</v>
      </c>
      <c r="O33" s="1"/>
      <c r="P33" s="1" t="s">
        <v>225</v>
      </c>
      <c r="Q33" s="1" t="s">
        <v>120</v>
      </c>
      <c r="R33" s="1"/>
      <c r="S33" s="3">
        <v>150</v>
      </c>
      <c r="T33" s="2" t="s">
        <v>226</v>
      </c>
      <c r="U33" s="2" t="s">
        <v>227</v>
      </c>
      <c r="V33" s="4" t="s">
        <v>228</v>
      </c>
      <c r="W33" s="4" t="s">
        <v>229</v>
      </c>
    </row>
    <row r="34" spans="1:23" ht="15" customHeight="1" x14ac:dyDescent="0.25">
      <c r="A34" s="1" t="s">
        <v>222</v>
      </c>
      <c r="B34" s="1"/>
      <c r="C34" s="1" t="s">
        <v>230</v>
      </c>
      <c r="D34" s="1" t="s">
        <v>224</v>
      </c>
      <c r="E34" s="1" t="s">
        <v>162</v>
      </c>
      <c r="F34" s="1"/>
      <c r="G34" s="1" t="s">
        <v>33</v>
      </c>
      <c r="H34" s="9" t="s">
        <v>231</v>
      </c>
      <c r="I34" s="1" t="s">
        <v>35</v>
      </c>
      <c r="J34" s="1" t="s">
        <v>27</v>
      </c>
      <c r="K34" s="1" t="s">
        <v>232</v>
      </c>
      <c r="L34" s="1"/>
      <c r="M34" s="1"/>
      <c r="O34" s="1"/>
      <c r="P34" s="1" t="s">
        <v>225</v>
      </c>
      <c r="Q34" s="1" t="s">
        <v>120</v>
      </c>
      <c r="R34" s="1"/>
      <c r="S34" s="3">
        <v>385</v>
      </c>
      <c r="T34" s="2"/>
      <c r="U34" s="2"/>
    </row>
    <row r="35" spans="1:23" ht="15" customHeight="1" x14ac:dyDescent="0.25">
      <c r="A35" s="1" t="s">
        <v>222</v>
      </c>
      <c r="B35" s="1"/>
      <c r="C35" s="1" t="s">
        <v>233</v>
      </c>
      <c r="D35" s="1" t="s">
        <v>224</v>
      </c>
      <c r="E35" s="1" t="s">
        <v>162</v>
      </c>
      <c r="F35" s="1"/>
      <c r="G35" s="1" t="s">
        <v>33</v>
      </c>
      <c r="H35" s="9" t="s">
        <v>234</v>
      </c>
      <c r="I35" s="1" t="s">
        <v>26</v>
      </c>
      <c r="J35" s="1" t="s">
        <v>27</v>
      </c>
      <c r="K35" s="1" t="s">
        <v>235</v>
      </c>
      <c r="L35" s="1"/>
      <c r="M35" s="1"/>
      <c r="O35" s="1"/>
      <c r="P35" s="1" t="s">
        <v>225</v>
      </c>
      <c r="Q35" s="1" t="s">
        <v>120</v>
      </c>
      <c r="R35" s="1"/>
      <c r="S35" s="3">
        <v>378</v>
      </c>
      <c r="T35" s="2"/>
      <c r="U35" s="2"/>
    </row>
    <row r="36" spans="1:23" ht="15" customHeight="1" x14ac:dyDescent="0.25">
      <c r="A36" s="1" t="s">
        <v>222</v>
      </c>
      <c r="B36" s="1"/>
      <c r="C36" s="1" t="s">
        <v>236</v>
      </c>
      <c r="D36" s="1" t="s">
        <v>224</v>
      </c>
      <c r="E36" s="1" t="s">
        <v>162</v>
      </c>
      <c r="F36" s="1"/>
      <c r="G36" s="1" t="s">
        <v>33</v>
      </c>
      <c r="H36" s="9" t="s">
        <v>237</v>
      </c>
      <c r="I36" s="1" t="s">
        <v>202</v>
      </c>
      <c r="J36" s="1" t="s">
        <v>27</v>
      </c>
      <c r="K36" s="1" t="s">
        <v>235</v>
      </c>
      <c r="L36" s="1"/>
      <c r="M36" s="1"/>
      <c r="O36" s="1"/>
      <c r="P36" s="1"/>
      <c r="Q36" s="1"/>
      <c r="R36" s="1"/>
      <c r="S36" s="3">
        <v>415</v>
      </c>
      <c r="T36" s="2"/>
      <c r="U36" s="2" t="s">
        <v>238</v>
      </c>
    </row>
    <row r="37" spans="1:23" ht="15" customHeight="1" x14ac:dyDescent="0.25">
      <c r="A37" s="1" t="s">
        <v>239</v>
      </c>
      <c r="B37" s="1"/>
      <c r="C37" s="1" t="s">
        <v>240</v>
      </c>
      <c r="D37" s="1" t="s">
        <v>30</v>
      </c>
      <c r="E37" s="1" t="s">
        <v>31</v>
      </c>
      <c r="F37" s="1" t="s">
        <v>50</v>
      </c>
      <c r="G37" s="1" t="s">
        <v>241</v>
      </c>
      <c r="H37" s="9" t="s">
        <v>242</v>
      </c>
      <c r="I37" s="1" t="s">
        <v>35</v>
      </c>
      <c r="J37" s="1" t="s">
        <v>27</v>
      </c>
      <c r="K37" s="1" t="s">
        <v>36</v>
      </c>
      <c r="L37" s="1" t="s">
        <v>37</v>
      </c>
      <c r="M37" s="1" t="s">
        <v>243</v>
      </c>
      <c r="N37">
        <v>50</v>
      </c>
      <c r="O37" s="1" t="s">
        <v>110</v>
      </c>
      <c r="P37" s="1" t="s">
        <v>244</v>
      </c>
      <c r="Q37" s="1" t="s">
        <v>245</v>
      </c>
      <c r="R37" s="1"/>
      <c r="S37" s="3">
        <v>80</v>
      </c>
      <c r="T37" s="2" t="s">
        <v>246</v>
      </c>
      <c r="U37" s="2" t="s">
        <v>247</v>
      </c>
      <c r="V37" s="4" t="s">
        <v>248</v>
      </c>
    </row>
    <row r="38" spans="1:23" ht="15" customHeight="1" x14ac:dyDescent="0.25">
      <c r="A38" s="1" t="s">
        <v>239</v>
      </c>
      <c r="B38" s="1"/>
      <c r="C38" s="1" t="s">
        <v>249</v>
      </c>
      <c r="D38" s="1"/>
      <c r="E38" s="1" t="s">
        <v>31</v>
      </c>
      <c r="F38" s="1" t="s">
        <v>25</v>
      </c>
      <c r="G38" s="1" t="s">
        <v>250</v>
      </c>
      <c r="H38" s="9" t="s">
        <v>251</v>
      </c>
      <c r="I38" s="1" t="s">
        <v>202</v>
      </c>
      <c r="J38" s="1" t="s">
        <v>27</v>
      </c>
      <c r="K38" s="1" t="s">
        <v>126</v>
      </c>
      <c r="L38" s="1"/>
      <c r="M38" s="1"/>
      <c r="O38" s="1"/>
      <c r="P38" s="1"/>
      <c r="Q38" s="1"/>
      <c r="R38" s="1"/>
      <c r="S38" s="3">
        <v>413</v>
      </c>
      <c r="T38" s="2"/>
      <c r="U38" s="2"/>
    </row>
    <row r="39" spans="1:23" ht="15" customHeight="1" x14ac:dyDescent="0.25">
      <c r="A39" s="1" t="s">
        <v>252</v>
      </c>
      <c r="B39" s="1"/>
      <c r="C39" s="1" t="s">
        <v>252</v>
      </c>
      <c r="D39" s="1" t="s">
        <v>30</v>
      </c>
      <c r="E39" s="1" t="s">
        <v>31</v>
      </c>
      <c r="F39" s="1" t="s">
        <v>25</v>
      </c>
      <c r="G39" s="1" t="s">
        <v>33</v>
      </c>
      <c r="H39" s="9" t="s">
        <v>253</v>
      </c>
      <c r="I39" s="1" t="s">
        <v>202</v>
      </c>
      <c r="J39" s="1" t="s">
        <v>27</v>
      </c>
      <c r="K39" s="1" t="s">
        <v>254</v>
      </c>
      <c r="L39" s="1"/>
      <c r="M39" s="1"/>
      <c r="O39" s="1"/>
      <c r="P39" s="1"/>
      <c r="Q39" s="1"/>
      <c r="R39" s="1"/>
      <c r="S39" s="3">
        <v>381</v>
      </c>
      <c r="T39" s="2"/>
      <c r="U39" s="2"/>
    </row>
    <row r="40" spans="1:23" ht="15" customHeight="1" x14ac:dyDescent="0.25">
      <c r="A40" s="1" t="s">
        <v>255</v>
      </c>
      <c r="B40" s="1"/>
      <c r="C40" s="1" t="s">
        <v>256</v>
      </c>
      <c r="D40" s="1" t="s">
        <v>48</v>
      </c>
      <c r="E40" s="1" t="s">
        <v>31</v>
      </c>
      <c r="F40" s="1" t="s">
        <v>50</v>
      </c>
      <c r="G40" s="1"/>
      <c r="H40" s="9" t="s">
        <v>257</v>
      </c>
      <c r="I40" s="1" t="s">
        <v>82</v>
      </c>
      <c r="J40" s="1" t="s">
        <v>27</v>
      </c>
      <c r="K40" s="1" t="s">
        <v>118</v>
      </c>
      <c r="L40" s="1"/>
      <c r="M40" s="1"/>
      <c r="O40" s="1"/>
      <c r="P40" s="1"/>
      <c r="Q40" s="1"/>
      <c r="R40" s="1"/>
      <c r="S40" s="3">
        <v>174</v>
      </c>
      <c r="T40" s="2" t="s">
        <v>258</v>
      </c>
      <c r="U40" s="2" t="s">
        <v>259</v>
      </c>
      <c r="V40" s="4" t="s">
        <v>260</v>
      </c>
    </row>
    <row r="41" spans="1:23" ht="15" customHeight="1" x14ac:dyDescent="0.25">
      <c r="A41" s="1" t="s">
        <v>261</v>
      </c>
      <c r="B41" s="1"/>
      <c r="C41" s="1" t="s">
        <v>262</v>
      </c>
      <c r="D41" s="1" t="s">
        <v>224</v>
      </c>
      <c r="E41" s="1" t="s">
        <v>31</v>
      </c>
      <c r="F41" s="1" t="s">
        <v>25</v>
      </c>
      <c r="G41" s="1" t="s">
        <v>33</v>
      </c>
      <c r="H41" s="9" t="s">
        <v>263</v>
      </c>
      <c r="I41" s="1" t="s">
        <v>26</v>
      </c>
      <c r="J41" s="1" t="s">
        <v>27</v>
      </c>
      <c r="K41" s="1" t="s">
        <v>235</v>
      </c>
      <c r="L41" s="1"/>
      <c r="M41" s="1"/>
      <c r="O41" s="1"/>
      <c r="P41" s="1"/>
      <c r="Q41" s="1" t="s">
        <v>264</v>
      </c>
      <c r="R41" s="1"/>
      <c r="S41" s="3">
        <v>380</v>
      </c>
      <c r="T41" s="2"/>
      <c r="U41" s="2"/>
    </row>
    <row r="42" spans="1:23" ht="15" customHeight="1" x14ac:dyDescent="0.25">
      <c r="A42" s="1" t="s">
        <v>261</v>
      </c>
      <c r="B42" s="1"/>
      <c r="C42" s="1" t="s">
        <v>265</v>
      </c>
      <c r="D42" s="1" t="s">
        <v>224</v>
      </c>
      <c r="E42" s="1" t="s">
        <v>31</v>
      </c>
      <c r="F42" s="1" t="s">
        <v>25</v>
      </c>
      <c r="G42" s="1" t="s">
        <v>33</v>
      </c>
      <c r="H42" s="9" t="s">
        <v>266</v>
      </c>
      <c r="I42" s="1" t="s">
        <v>202</v>
      </c>
      <c r="J42" s="1" t="s">
        <v>27</v>
      </c>
      <c r="K42" s="1" t="s">
        <v>235</v>
      </c>
      <c r="L42" s="1"/>
      <c r="M42" s="1"/>
      <c r="O42" s="1"/>
      <c r="P42" s="1"/>
      <c r="Q42" s="1"/>
      <c r="R42" s="1"/>
      <c r="S42" s="3">
        <v>417</v>
      </c>
      <c r="T42" s="2"/>
      <c r="U42" s="2"/>
    </row>
    <row r="43" spans="1:23" ht="15" customHeight="1" x14ac:dyDescent="0.25">
      <c r="A43" s="1" t="s">
        <v>267</v>
      </c>
      <c r="B43" s="1"/>
      <c r="C43" s="1" t="s">
        <v>268</v>
      </c>
      <c r="D43" s="1" t="s">
        <v>30</v>
      </c>
      <c r="E43" s="1" t="s">
        <v>49</v>
      </c>
      <c r="F43" s="1" t="s">
        <v>50</v>
      </c>
      <c r="G43" s="1" t="s">
        <v>33</v>
      </c>
      <c r="H43" s="9" t="s">
        <v>269</v>
      </c>
      <c r="I43" s="1" t="s">
        <v>35</v>
      </c>
      <c r="J43" s="1" t="s">
        <v>27</v>
      </c>
      <c r="K43" s="1" t="s">
        <v>270</v>
      </c>
      <c r="L43" s="1"/>
      <c r="M43" s="1"/>
      <c r="O43" s="1"/>
      <c r="P43" s="1"/>
      <c r="Q43" s="1"/>
      <c r="R43" s="1"/>
      <c r="S43" s="3">
        <v>414</v>
      </c>
      <c r="T43" s="2" t="s">
        <v>271</v>
      </c>
      <c r="U43" s="2" t="s">
        <v>272</v>
      </c>
      <c r="V43" s="4" t="s">
        <v>273</v>
      </c>
    </row>
    <row r="44" spans="1:23" ht="15" customHeight="1" x14ac:dyDescent="0.25">
      <c r="A44" s="1" t="s">
        <v>274</v>
      </c>
      <c r="B44" s="1"/>
      <c r="C44" s="1" t="s">
        <v>275</v>
      </c>
      <c r="D44" s="1" t="s">
        <v>48</v>
      </c>
      <c r="E44" s="1" t="s">
        <v>49</v>
      </c>
      <c r="F44" s="1" t="s">
        <v>50</v>
      </c>
      <c r="G44" s="1" t="s">
        <v>33</v>
      </c>
      <c r="H44" s="9" t="s">
        <v>276</v>
      </c>
      <c r="I44" s="1" t="s">
        <v>35</v>
      </c>
      <c r="J44" s="1" t="s">
        <v>27</v>
      </c>
      <c r="K44" s="1" t="s">
        <v>277</v>
      </c>
      <c r="L44" s="1"/>
      <c r="M44" s="1"/>
      <c r="N44">
        <v>0</v>
      </c>
      <c r="O44" s="1"/>
      <c r="P44" s="1"/>
      <c r="Q44" s="1"/>
      <c r="R44" s="1"/>
      <c r="S44" s="3">
        <v>198</v>
      </c>
      <c r="T44" s="2"/>
      <c r="U44" s="2" t="s">
        <v>278</v>
      </c>
      <c r="V44" s="4" t="s">
        <v>279</v>
      </c>
    </row>
    <row r="45" spans="1:23" ht="15" customHeight="1" x14ac:dyDescent="0.25">
      <c r="A45" s="1" t="s">
        <v>280</v>
      </c>
      <c r="B45" s="1"/>
      <c r="C45" s="1" t="s">
        <v>281</v>
      </c>
      <c r="D45" s="1" t="s">
        <v>48</v>
      </c>
      <c r="E45" s="1" t="s">
        <v>31</v>
      </c>
      <c r="F45" s="1" t="s">
        <v>25</v>
      </c>
      <c r="G45" s="1"/>
      <c r="H45" s="9" t="s">
        <v>282</v>
      </c>
      <c r="I45" s="1" t="s">
        <v>26</v>
      </c>
      <c r="J45" s="5" t="s">
        <v>27</v>
      </c>
      <c r="K45" s="1"/>
      <c r="L45" s="1"/>
      <c r="M45" s="1"/>
      <c r="O45" s="1"/>
      <c r="P45" s="1"/>
      <c r="Q45" s="1"/>
      <c r="R45" s="1"/>
      <c r="S45" s="3">
        <v>429</v>
      </c>
      <c r="T45" s="2"/>
      <c r="U45" s="2"/>
    </row>
    <row r="46" spans="1:23" ht="15" customHeight="1" x14ac:dyDescent="0.25">
      <c r="A46" s="1" t="s">
        <v>283</v>
      </c>
      <c r="B46" s="1"/>
      <c r="C46" s="1" t="s">
        <v>284</v>
      </c>
      <c r="D46" s="1" t="s">
        <v>48</v>
      </c>
      <c r="E46" s="1" t="s">
        <v>31</v>
      </c>
      <c r="F46" s="1" t="s">
        <v>50</v>
      </c>
      <c r="G46" s="1" t="s">
        <v>285</v>
      </c>
      <c r="H46" s="9" t="s">
        <v>286</v>
      </c>
      <c r="I46" s="1" t="s">
        <v>287</v>
      </c>
      <c r="J46" s="1" t="s">
        <v>27</v>
      </c>
      <c r="K46" s="1" t="s">
        <v>288</v>
      </c>
      <c r="L46" s="1" t="s">
        <v>75</v>
      </c>
      <c r="M46" s="1"/>
      <c r="N46">
        <v>0</v>
      </c>
      <c r="O46" s="1" t="s">
        <v>30</v>
      </c>
      <c r="P46" s="1"/>
      <c r="Q46" s="1" t="s">
        <v>289</v>
      </c>
      <c r="R46" s="1"/>
      <c r="S46" s="3">
        <v>113</v>
      </c>
      <c r="T46" s="2" t="s">
        <v>290</v>
      </c>
      <c r="U46" s="2" t="s">
        <v>291</v>
      </c>
      <c r="V46" s="4" t="s">
        <v>292</v>
      </c>
    </row>
    <row r="47" spans="1:23" ht="15" customHeight="1" x14ac:dyDescent="0.25">
      <c r="A47" s="1" t="s">
        <v>293</v>
      </c>
      <c r="B47" s="1"/>
      <c r="C47" s="1" t="s">
        <v>294</v>
      </c>
      <c r="D47" s="1" t="s">
        <v>48</v>
      </c>
      <c r="E47" s="1" t="s">
        <v>31</v>
      </c>
      <c r="F47" s="1" t="s">
        <v>50</v>
      </c>
      <c r="G47" s="1"/>
      <c r="H47" s="9" t="s">
        <v>295</v>
      </c>
      <c r="I47" s="1" t="s">
        <v>82</v>
      </c>
      <c r="J47" s="1" t="s">
        <v>27</v>
      </c>
      <c r="K47" s="1" t="s">
        <v>296</v>
      </c>
      <c r="L47" s="1"/>
      <c r="M47" s="1"/>
      <c r="O47" s="1"/>
      <c r="P47" s="1"/>
      <c r="Q47" s="1"/>
      <c r="R47" s="1"/>
      <c r="S47" s="3">
        <v>446</v>
      </c>
      <c r="T47" s="2" t="s">
        <v>297</v>
      </c>
      <c r="U47" s="2" t="s">
        <v>298</v>
      </c>
      <c r="V47" s="4" t="s">
        <v>299</v>
      </c>
    </row>
    <row r="48" spans="1:23" ht="15" customHeight="1" x14ac:dyDescent="0.25">
      <c r="A48" s="1" t="s">
        <v>300</v>
      </c>
      <c r="B48" s="1"/>
      <c r="C48" s="1" t="s">
        <v>300</v>
      </c>
      <c r="D48" s="1"/>
      <c r="E48" s="1" t="s">
        <v>31</v>
      </c>
      <c r="F48" s="1" t="s">
        <v>25</v>
      </c>
      <c r="G48" s="1"/>
      <c r="H48" s="9" t="s">
        <v>301</v>
      </c>
      <c r="I48" s="1" t="s">
        <v>202</v>
      </c>
      <c r="J48" s="1" t="s">
        <v>27</v>
      </c>
      <c r="K48" s="1" t="s">
        <v>302</v>
      </c>
      <c r="L48" s="1"/>
      <c r="M48" s="1"/>
      <c r="O48" s="1"/>
      <c r="P48" s="1"/>
      <c r="Q48" s="1"/>
      <c r="R48" s="1"/>
      <c r="S48" s="3">
        <v>394</v>
      </c>
      <c r="T48" s="2"/>
      <c r="U48" s="2"/>
    </row>
    <row r="49" spans="1:23" ht="15" customHeight="1" x14ac:dyDescent="0.25">
      <c r="A49" s="1" t="s">
        <v>303</v>
      </c>
      <c r="B49" s="1"/>
      <c r="C49" s="1" t="s">
        <v>304</v>
      </c>
      <c r="D49" s="1" t="s">
        <v>48</v>
      </c>
      <c r="E49" s="1" t="s">
        <v>65</v>
      </c>
      <c r="F49" s="1"/>
      <c r="G49" s="1"/>
      <c r="H49" s="9" t="s">
        <v>305</v>
      </c>
      <c r="I49" s="1" t="s">
        <v>35</v>
      </c>
      <c r="J49" s="1" t="s">
        <v>27</v>
      </c>
      <c r="K49" s="1" t="s">
        <v>306</v>
      </c>
      <c r="L49" s="1"/>
      <c r="M49" s="1"/>
      <c r="O49" s="1"/>
      <c r="P49" s="1" t="s">
        <v>307</v>
      </c>
      <c r="Q49" s="1"/>
      <c r="R49" s="1"/>
      <c r="S49" s="3">
        <v>179</v>
      </c>
      <c r="T49" s="2"/>
      <c r="U49" s="2" t="s">
        <v>308</v>
      </c>
      <c r="V49" s="4" t="s">
        <v>309</v>
      </c>
      <c r="W49" s="4" t="s">
        <v>229</v>
      </c>
    </row>
    <row r="50" spans="1:23" ht="15" customHeight="1" x14ac:dyDescent="0.25">
      <c r="A50" s="1" t="s">
        <v>310</v>
      </c>
      <c r="B50" s="1"/>
      <c r="C50" s="1" t="s">
        <v>311</v>
      </c>
      <c r="D50" s="1" t="s">
        <v>48</v>
      </c>
      <c r="E50" s="1" t="s">
        <v>31</v>
      </c>
      <c r="F50" s="1" t="s">
        <v>50</v>
      </c>
      <c r="G50" s="1" t="s">
        <v>33</v>
      </c>
      <c r="H50" s="9" t="s">
        <v>312</v>
      </c>
      <c r="I50" s="1" t="s">
        <v>82</v>
      </c>
      <c r="J50" s="1" t="s">
        <v>27</v>
      </c>
      <c r="K50" s="1" t="s">
        <v>313</v>
      </c>
      <c r="L50" s="1"/>
      <c r="M50" s="1"/>
      <c r="N50">
        <v>0</v>
      </c>
      <c r="O50" s="1"/>
      <c r="P50" s="1"/>
      <c r="Q50" s="1"/>
      <c r="R50" s="1"/>
      <c r="S50" s="3">
        <v>451</v>
      </c>
      <c r="T50" s="2"/>
      <c r="U50" s="2" t="s">
        <v>314</v>
      </c>
      <c r="V50" s="4" t="s">
        <v>315</v>
      </c>
    </row>
    <row r="51" spans="1:23" ht="15" customHeight="1" x14ac:dyDescent="0.25">
      <c r="A51" s="1" t="s">
        <v>316</v>
      </c>
      <c r="B51" s="1" t="s">
        <v>857</v>
      </c>
      <c r="C51" s="1" t="s">
        <v>316</v>
      </c>
      <c r="D51" s="1" t="s">
        <v>30</v>
      </c>
      <c r="E51" s="1" t="s">
        <v>31</v>
      </c>
      <c r="F51" s="1" t="s">
        <v>50</v>
      </c>
      <c r="G51" s="1"/>
      <c r="H51" s="9" t="s">
        <v>317</v>
      </c>
      <c r="I51" s="1" t="s">
        <v>35</v>
      </c>
      <c r="J51" s="1" t="s">
        <v>27</v>
      </c>
      <c r="K51" s="1" t="s">
        <v>318</v>
      </c>
      <c r="L51" s="1" t="s">
        <v>37</v>
      </c>
      <c r="M51" s="1"/>
      <c r="N51">
        <v>75</v>
      </c>
      <c r="O51" s="1" t="s">
        <v>30</v>
      </c>
      <c r="P51" s="1"/>
      <c r="Q51" s="1" t="s">
        <v>289</v>
      </c>
      <c r="R51" s="1" t="s">
        <v>100</v>
      </c>
      <c r="S51" s="3">
        <v>121</v>
      </c>
      <c r="T51" s="2" t="s">
        <v>319</v>
      </c>
      <c r="U51" s="2" t="s">
        <v>320</v>
      </c>
      <c r="V51" s="4" t="s">
        <v>321</v>
      </c>
      <c r="W51" s="4" t="s">
        <v>322</v>
      </c>
    </row>
    <row r="52" spans="1:23" ht="15" customHeight="1" x14ac:dyDescent="0.25">
      <c r="A52" s="1" t="s">
        <v>323</v>
      </c>
      <c r="C52" s="1" t="s">
        <v>323</v>
      </c>
      <c r="D52" s="1" t="s">
        <v>30</v>
      </c>
      <c r="E52" s="1" t="s">
        <v>31</v>
      </c>
      <c r="F52" s="1" t="s">
        <v>25</v>
      </c>
      <c r="G52" s="1" t="s">
        <v>33</v>
      </c>
      <c r="H52" s="9" t="s">
        <v>324</v>
      </c>
      <c r="I52" s="1" t="s">
        <v>26</v>
      </c>
      <c r="J52" s="1" t="s">
        <v>27</v>
      </c>
      <c r="K52" s="1" t="s">
        <v>235</v>
      </c>
      <c r="L52" s="1"/>
      <c r="M52" s="1"/>
      <c r="O52" s="1"/>
      <c r="P52" s="1"/>
      <c r="Q52" s="1"/>
      <c r="R52" s="1"/>
      <c r="S52" s="3">
        <v>379</v>
      </c>
      <c r="T52" s="2"/>
      <c r="U52" s="2"/>
    </row>
    <row r="53" spans="1:23" ht="15" customHeight="1" x14ac:dyDescent="0.25">
      <c r="A53" s="1" t="s">
        <v>325</v>
      </c>
      <c r="B53" s="1"/>
      <c r="C53" s="1" t="s">
        <v>326</v>
      </c>
      <c r="D53" s="1" t="s">
        <v>30</v>
      </c>
      <c r="E53" s="1" t="s">
        <v>49</v>
      </c>
      <c r="F53" s="1" t="s">
        <v>50</v>
      </c>
      <c r="G53" s="1" t="s">
        <v>33</v>
      </c>
      <c r="H53" s="9" t="s">
        <v>327</v>
      </c>
      <c r="I53" s="1" t="s">
        <v>35</v>
      </c>
      <c r="J53" s="1" t="s">
        <v>27</v>
      </c>
      <c r="K53" s="1" t="s">
        <v>328</v>
      </c>
      <c r="L53" s="1"/>
      <c r="M53" s="1"/>
      <c r="O53" s="1"/>
      <c r="P53" s="1"/>
      <c r="Q53" s="1"/>
      <c r="R53" s="1"/>
      <c r="S53" s="3">
        <v>427</v>
      </c>
      <c r="T53" s="2" t="s">
        <v>329</v>
      </c>
      <c r="U53" s="2" t="s">
        <v>330</v>
      </c>
      <c r="V53" s="4" t="s">
        <v>331</v>
      </c>
    </row>
    <row r="54" spans="1:23" ht="15" customHeight="1" x14ac:dyDescent="0.25">
      <c r="A54" s="1" t="s">
        <v>79</v>
      </c>
      <c r="B54" s="1"/>
      <c r="C54" s="1" t="s">
        <v>332</v>
      </c>
      <c r="D54" s="1" t="s">
        <v>48</v>
      </c>
      <c r="E54" s="1" t="s">
        <v>31</v>
      </c>
      <c r="F54" s="1" t="s">
        <v>25</v>
      </c>
      <c r="G54" s="1" t="s">
        <v>33</v>
      </c>
      <c r="H54" s="9" t="s">
        <v>333</v>
      </c>
      <c r="I54" s="1" t="s">
        <v>202</v>
      </c>
      <c r="J54" s="1" t="s">
        <v>27</v>
      </c>
      <c r="K54" s="1"/>
      <c r="L54" s="1"/>
      <c r="M54" s="1"/>
      <c r="O54" s="1"/>
      <c r="P54" s="1" t="s">
        <v>84</v>
      </c>
      <c r="Q54" s="1" t="s">
        <v>85</v>
      </c>
      <c r="R54" s="1"/>
      <c r="S54" s="3">
        <v>377</v>
      </c>
      <c r="T54" s="2"/>
      <c r="U54" s="2" t="s">
        <v>334</v>
      </c>
      <c r="V54" s="4" t="s">
        <v>335</v>
      </c>
    </row>
    <row r="55" spans="1:23" ht="15" customHeight="1" x14ac:dyDescent="0.25">
      <c r="A55" s="1" t="s">
        <v>79</v>
      </c>
      <c r="B55" s="1"/>
      <c r="C55" s="1" t="s">
        <v>336</v>
      </c>
      <c r="D55" s="1" t="s">
        <v>48</v>
      </c>
      <c r="E55" s="1" t="s">
        <v>31</v>
      </c>
      <c r="F55" s="1" t="s">
        <v>25</v>
      </c>
      <c r="G55" s="1" t="s">
        <v>33</v>
      </c>
      <c r="H55" s="9" t="s">
        <v>337</v>
      </c>
      <c r="I55" s="1" t="s">
        <v>202</v>
      </c>
      <c r="J55" s="1" t="s">
        <v>27</v>
      </c>
      <c r="K55" s="1"/>
      <c r="L55" s="1"/>
      <c r="M55" s="1"/>
      <c r="O55" s="1"/>
      <c r="P55" s="1"/>
      <c r="Q55" s="1"/>
      <c r="R55" s="1"/>
      <c r="S55" s="3">
        <v>403</v>
      </c>
      <c r="T55" s="2"/>
      <c r="U55" s="2"/>
    </row>
    <row r="56" spans="1:23" ht="15" customHeight="1" x14ac:dyDescent="0.25">
      <c r="A56" s="1" t="s">
        <v>338</v>
      </c>
      <c r="B56" s="1"/>
      <c r="C56" s="1" t="s">
        <v>339</v>
      </c>
      <c r="D56" s="1" t="s">
        <v>30</v>
      </c>
      <c r="E56" s="1" t="s">
        <v>31</v>
      </c>
      <c r="F56" s="1" t="s">
        <v>50</v>
      </c>
      <c r="G56" s="1" t="s">
        <v>33</v>
      </c>
      <c r="H56" s="9" t="s">
        <v>340</v>
      </c>
      <c r="I56" s="1" t="s">
        <v>82</v>
      </c>
      <c r="J56" s="1" t="s">
        <v>27</v>
      </c>
      <c r="K56" s="1" t="s">
        <v>341</v>
      </c>
      <c r="L56" s="1" t="s">
        <v>75</v>
      </c>
      <c r="M56" s="1"/>
      <c r="O56" s="1"/>
      <c r="P56" s="1" t="s">
        <v>84</v>
      </c>
      <c r="Q56" s="1" t="s">
        <v>342</v>
      </c>
      <c r="R56" s="1"/>
      <c r="S56" s="3">
        <v>171</v>
      </c>
      <c r="T56" s="2" t="s">
        <v>343</v>
      </c>
      <c r="U56" s="2" t="s">
        <v>344</v>
      </c>
      <c r="V56" s="4" t="s">
        <v>345</v>
      </c>
      <c r="W56" s="4" t="s">
        <v>346</v>
      </c>
    </row>
    <row r="57" spans="1:23" ht="15" customHeight="1" x14ac:dyDescent="0.25">
      <c r="A57" s="1" t="s">
        <v>347</v>
      </c>
      <c r="B57" s="1"/>
      <c r="C57" s="1" t="s">
        <v>347</v>
      </c>
      <c r="D57" s="1" t="s">
        <v>48</v>
      </c>
      <c r="E57" s="1" t="s">
        <v>31</v>
      </c>
      <c r="F57" s="1" t="s">
        <v>50</v>
      </c>
      <c r="G57" s="1"/>
      <c r="H57" s="9" t="s">
        <v>348</v>
      </c>
      <c r="I57" s="1" t="s">
        <v>287</v>
      </c>
      <c r="J57" s="1" t="s">
        <v>27</v>
      </c>
      <c r="K57" s="1" t="s">
        <v>349</v>
      </c>
      <c r="L57" s="1" t="s">
        <v>75</v>
      </c>
      <c r="M57" s="1"/>
      <c r="O57" s="1"/>
      <c r="P57" s="1"/>
      <c r="Q57" s="1"/>
      <c r="R57" s="1"/>
      <c r="S57" s="3">
        <v>131</v>
      </c>
      <c r="T57" s="2" t="s">
        <v>350</v>
      </c>
      <c r="U57" s="2" t="s">
        <v>351</v>
      </c>
      <c r="V57" s="4" t="s">
        <v>352</v>
      </c>
    </row>
    <row r="58" spans="1:23" ht="15" customHeight="1" x14ac:dyDescent="0.25">
      <c r="A58" s="1" t="s">
        <v>353</v>
      </c>
      <c r="B58" s="1"/>
      <c r="C58" s="1" t="s">
        <v>354</v>
      </c>
      <c r="D58" s="1" t="s">
        <v>30</v>
      </c>
      <c r="E58" s="1" t="s">
        <v>31</v>
      </c>
      <c r="F58" s="1" t="s">
        <v>50</v>
      </c>
      <c r="G58" s="1"/>
      <c r="H58" s="9" t="s">
        <v>355</v>
      </c>
      <c r="I58" s="1" t="s">
        <v>82</v>
      </c>
      <c r="J58" s="1" t="s">
        <v>27</v>
      </c>
      <c r="K58" s="1" t="s">
        <v>356</v>
      </c>
      <c r="L58" s="1" t="s">
        <v>75</v>
      </c>
      <c r="M58" s="1"/>
      <c r="O58" s="1"/>
      <c r="P58" s="1"/>
      <c r="Q58" s="1"/>
      <c r="R58" s="1"/>
      <c r="S58" s="3">
        <v>164</v>
      </c>
      <c r="T58" s="2" t="s">
        <v>357</v>
      </c>
      <c r="U58" s="2" t="s">
        <v>358</v>
      </c>
      <c r="V58" s="4" t="s">
        <v>359</v>
      </c>
    </row>
    <row r="59" spans="1:23" ht="15" customHeight="1" x14ac:dyDescent="0.25">
      <c r="A59" s="1" t="s">
        <v>353</v>
      </c>
      <c r="B59" s="1"/>
      <c r="C59" s="1" t="s">
        <v>360</v>
      </c>
      <c r="D59" s="1" t="s">
        <v>30</v>
      </c>
      <c r="E59" s="1" t="s">
        <v>142</v>
      </c>
      <c r="F59" s="1" t="s">
        <v>50</v>
      </c>
      <c r="G59" s="1"/>
      <c r="H59" s="9" t="s">
        <v>361</v>
      </c>
      <c r="I59" s="1" t="s">
        <v>35</v>
      </c>
      <c r="J59" s="1" t="s">
        <v>27</v>
      </c>
      <c r="K59" s="1" t="s">
        <v>144</v>
      </c>
      <c r="L59" s="1"/>
      <c r="M59" s="1"/>
      <c r="N59">
        <v>100</v>
      </c>
      <c r="O59" s="1"/>
      <c r="P59" s="1"/>
      <c r="Q59" s="1"/>
      <c r="R59" s="1"/>
      <c r="S59" s="3">
        <v>450</v>
      </c>
      <c r="T59" s="2"/>
      <c r="U59" s="2"/>
    </row>
    <row r="60" spans="1:23" ht="15" customHeight="1" x14ac:dyDescent="0.25">
      <c r="A60" s="1" t="s">
        <v>362</v>
      </c>
      <c r="B60" s="1"/>
      <c r="C60" s="1" t="s">
        <v>363</v>
      </c>
      <c r="D60" s="1" t="s">
        <v>30</v>
      </c>
      <c r="E60" s="1" t="s">
        <v>31</v>
      </c>
      <c r="F60" s="1" t="s">
        <v>50</v>
      </c>
      <c r="G60" s="1" t="s">
        <v>33</v>
      </c>
      <c r="H60" s="9" t="s">
        <v>364</v>
      </c>
      <c r="I60" s="1" t="s">
        <v>35</v>
      </c>
      <c r="J60" s="1" t="s">
        <v>27</v>
      </c>
      <c r="K60" s="1" t="s">
        <v>365</v>
      </c>
      <c r="L60" s="1" t="s">
        <v>37</v>
      </c>
      <c r="M60" s="1" t="s">
        <v>363</v>
      </c>
      <c r="N60">
        <v>58</v>
      </c>
      <c r="O60" s="1" t="s">
        <v>30</v>
      </c>
      <c r="P60" s="1" t="s">
        <v>366</v>
      </c>
      <c r="Q60" s="1" t="s">
        <v>152</v>
      </c>
      <c r="R60" s="1"/>
      <c r="S60" s="3">
        <v>106</v>
      </c>
      <c r="T60" s="2" t="s">
        <v>367</v>
      </c>
      <c r="U60" s="2" t="s">
        <v>368</v>
      </c>
      <c r="V60" s="4" t="s">
        <v>369</v>
      </c>
      <c r="W60" s="4" t="s">
        <v>370</v>
      </c>
    </row>
    <row r="61" spans="1:23" ht="15" customHeight="1" x14ac:dyDescent="0.25">
      <c r="A61" s="1" t="s">
        <v>371</v>
      </c>
      <c r="B61" s="1"/>
      <c r="C61" s="1" t="s">
        <v>372</v>
      </c>
      <c r="D61" s="1" t="s">
        <v>48</v>
      </c>
      <c r="E61" s="1" t="s">
        <v>31</v>
      </c>
      <c r="F61" s="1" t="s">
        <v>50</v>
      </c>
      <c r="G61" s="1"/>
      <c r="H61" s="9" t="s">
        <v>373</v>
      </c>
      <c r="I61" s="1" t="s">
        <v>82</v>
      </c>
      <c r="J61" s="1" t="s">
        <v>27</v>
      </c>
      <c r="K61" s="1" t="s">
        <v>374</v>
      </c>
      <c r="L61" s="1" t="s">
        <v>75</v>
      </c>
      <c r="M61" s="1"/>
      <c r="N61">
        <v>0</v>
      </c>
      <c r="O61" s="1"/>
      <c r="P61" s="1"/>
      <c r="Q61" s="1" t="s">
        <v>152</v>
      </c>
      <c r="R61" s="1"/>
      <c r="S61" s="3">
        <v>116</v>
      </c>
      <c r="T61" s="2" t="s">
        <v>375</v>
      </c>
      <c r="U61" s="2" t="s">
        <v>376</v>
      </c>
      <c r="V61" s="4" t="s">
        <v>377</v>
      </c>
      <c r="W61" s="4" t="s">
        <v>378</v>
      </c>
    </row>
    <row r="62" spans="1:23" ht="15" customHeight="1" x14ac:dyDescent="0.25">
      <c r="A62" s="1" t="s">
        <v>379</v>
      </c>
      <c r="B62" s="1"/>
      <c r="C62" s="1" t="s">
        <v>380</v>
      </c>
      <c r="D62" s="1" t="s">
        <v>30</v>
      </c>
      <c r="E62" s="1" t="s">
        <v>31</v>
      </c>
      <c r="F62" s="1" t="s">
        <v>50</v>
      </c>
      <c r="G62" s="1" t="s">
        <v>33</v>
      </c>
      <c r="H62" s="9" t="s">
        <v>381</v>
      </c>
      <c r="I62" s="1" t="s">
        <v>82</v>
      </c>
      <c r="J62" s="1" t="s">
        <v>27</v>
      </c>
      <c r="K62" s="1" t="s">
        <v>356</v>
      </c>
      <c r="L62" s="1" t="s">
        <v>75</v>
      </c>
      <c r="M62" s="1"/>
      <c r="N62">
        <v>100</v>
      </c>
      <c r="O62" s="1"/>
      <c r="P62" s="1"/>
      <c r="Q62" s="1"/>
      <c r="R62" s="1"/>
      <c r="S62" s="3">
        <v>154</v>
      </c>
      <c r="T62" s="2" t="s">
        <v>382</v>
      </c>
      <c r="U62" s="2" t="s">
        <v>383</v>
      </c>
    </row>
    <row r="63" spans="1:23" ht="15" customHeight="1" x14ac:dyDescent="0.25">
      <c r="A63" s="1" t="s">
        <v>239</v>
      </c>
      <c r="B63" s="1"/>
      <c r="C63" s="1" t="s">
        <v>384</v>
      </c>
      <c r="D63" s="1"/>
      <c r="E63" s="1" t="s">
        <v>91</v>
      </c>
      <c r="F63" s="1" t="s">
        <v>25</v>
      </c>
      <c r="G63" s="1"/>
      <c r="H63" s="9" t="s">
        <v>385</v>
      </c>
      <c r="I63" s="1" t="s">
        <v>26</v>
      </c>
      <c r="J63" s="5" t="s">
        <v>27</v>
      </c>
      <c r="K63" s="1"/>
      <c r="L63" s="1"/>
      <c r="M63" s="1"/>
      <c r="O63" s="1"/>
      <c r="P63" s="1"/>
      <c r="Q63" s="1" t="s">
        <v>245</v>
      </c>
      <c r="R63" s="1"/>
      <c r="S63" s="3">
        <v>224</v>
      </c>
      <c r="T63" s="2" t="s">
        <v>386</v>
      </c>
      <c r="U63" s="2" t="s">
        <v>387</v>
      </c>
    </row>
    <row r="64" spans="1:23" ht="15" customHeight="1" x14ac:dyDescent="0.25">
      <c r="A64" s="1" t="s">
        <v>388</v>
      </c>
      <c r="B64" s="1"/>
      <c r="C64" s="1" t="s">
        <v>388</v>
      </c>
      <c r="D64" s="1" t="s">
        <v>42</v>
      </c>
      <c r="E64" s="1" t="s">
        <v>162</v>
      </c>
      <c r="F64" s="1"/>
      <c r="G64" s="1"/>
      <c r="I64" s="1" t="s">
        <v>60</v>
      </c>
      <c r="J64" s="1" t="s">
        <v>27</v>
      </c>
      <c r="K64" s="1"/>
      <c r="L64" s="1"/>
      <c r="M64" s="1"/>
      <c r="O64" s="1"/>
      <c r="P64" s="1"/>
      <c r="Q64" s="1"/>
      <c r="R64" s="1"/>
      <c r="S64" s="3">
        <v>408</v>
      </c>
      <c r="T64" s="2"/>
      <c r="U64" s="2"/>
    </row>
    <row r="65" spans="1:23" ht="15" customHeight="1" x14ac:dyDescent="0.25">
      <c r="A65" s="1" t="s">
        <v>389</v>
      </c>
      <c r="B65" s="1"/>
      <c r="C65" s="1" t="s">
        <v>390</v>
      </c>
      <c r="D65" s="1" t="s">
        <v>30</v>
      </c>
      <c r="E65" s="1" t="s">
        <v>31</v>
      </c>
      <c r="F65" s="1" t="s">
        <v>50</v>
      </c>
      <c r="G65" s="1" t="s">
        <v>33</v>
      </c>
      <c r="H65" s="9" t="s">
        <v>391</v>
      </c>
      <c r="I65" s="1" t="s">
        <v>35</v>
      </c>
      <c r="J65" s="1" t="s">
        <v>27</v>
      </c>
      <c r="K65" s="1" t="s">
        <v>392</v>
      </c>
      <c r="L65" s="1"/>
      <c r="M65" s="1"/>
      <c r="O65" s="1"/>
      <c r="P65" s="1" t="s">
        <v>119</v>
      </c>
      <c r="Q65" s="1" t="s">
        <v>152</v>
      </c>
      <c r="R65" s="1"/>
      <c r="S65" s="3">
        <v>279</v>
      </c>
      <c r="T65" s="2" t="s">
        <v>393</v>
      </c>
      <c r="U65" s="2" t="s">
        <v>394</v>
      </c>
      <c r="V65" s="4" t="s">
        <v>395</v>
      </c>
      <c r="W65" s="4" t="s">
        <v>396</v>
      </c>
    </row>
    <row r="66" spans="1:23" ht="15" customHeight="1" x14ac:dyDescent="0.25">
      <c r="A66" s="1" t="s">
        <v>397</v>
      </c>
      <c r="B66" s="1"/>
      <c r="C66" s="1" t="s">
        <v>398</v>
      </c>
      <c r="D66" s="1" t="s">
        <v>30</v>
      </c>
      <c r="E66" s="1" t="s">
        <v>31</v>
      </c>
      <c r="F66" s="1" t="s">
        <v>50</v>
      </c>
      <c r="G66" s="1" t="s">
        <v>33</v>
      </c>
      <c r="H66" s="9" t="s">
        <v>399</v>
      </c>
      <c r="I66" s="1" t="s">
        <v>35</v>
      </c>
      <c r="J66" s="1" t="s">
        <v>27</v>
      </c>
      <c r="K66" s="1" t="s">
        <v>400</v>
      </c>
      <c r="L66" s="1"/>
      <c r="M66" s="1"/>
      <c r="O66" s="1"/>
      <c r="P66" s="1"/>
      <c r="Q66" s="1"/>
      <c r="R66" s="1"/>
      <c r="S66" s="3">
        <v>440</v>
      </c>
      <c r="T66" s="2" t="s">
        <v>401</v>
      </c>
      <c r="U66" s="2" t="s">
        <v>402</v>
      </c>
      <c r="V66" s="4" t="s">
        <v>403</v>
      </c>
    </row>
    <row r="67" spans="1:23" ht="15" customHeight="1" x14ac:dyDescent="0.25">
      <c r="A67" s="1" t="s">
        <v>404</v>
      </c>
      <c r="B67" s="1"/>
      <c r="C67" s="1" t="s">
        <v>404</v>
      </c>
      <c r="D67" s="1" t="s">
        <v>48</v>
      </c>
      <c r="E67" s="1" t="s">
        <v>31</v>
      </c>
      <c r="F67" s="1" t="s">
        <v>50</v>
      </c>
      <c r="G67" s="1" t="s">
        <v>285</v>
      </c>
      <c r="H67" s="9" t="s">
        <v>405</v>
      </c>
      <c r="I67" s="1" t="s">
        <v>35</v>
      </c>
      <c r="J67" s="1" t="s">
        <v>27</v>
      </c>
      <c r="K67" s="1" t="s">
        <v>118</v>
      </c>
      <c r="L67" s="1" t="s">
        <v>75</v>
      </c>
      <c r="M67" s="1"/>
      <c r="O67" s="1"/>
      <c r="P67" s="1"/>
      <c r="Q67" s="1"/>
      <c r="R67" s="1"/>
      <c r="S67" s="3">
        <v>172</v>
      </c>
      <c r="T67" s="2" t="s">
        <v>406</v>
      </c>
      <c r="U67" s="2" t="s">
        <v>407</v>
      </c>
      <c r="V67" s="4" t="s">
        <v>408</v>
      </c>
    </row>
    <row r="68" spans="1:23" ht="15" customHeight="1" x14ac:dyDescent="0.25">
      <c r="A68" s="1" t="s">
        <v>40</v>
      </c>
      <c r="B68" s="1" t="s">
        <v>858</v>
      </c>
      <c r="C68" s="1" t="s">
        <v>409</v>
      </c>
      <c r="D68" s="1" t="s">
        <v>48</v>
      </c>
      <c r="E68" s="1" t="s">
        <v>43</v>
      </c>
      <c r="F68" s="1" t="s">
        <v>25</v>
      </c>
      <c r="G68" s="1" t="s">
        <v>410</v>
      </c>
      <c r="H68" s="9" t="s">
        <v>411</v>
      </c>
      <c r="I68" s="1" t="s">
        <v>26</v>
      </c>
      <c r="J68" s="1" t="s">
        <v>27</v>
      </c>
      <c r="K68" s="1" t="s">
        <v>412</v>
      </c>
      <c r="L68" s="1"/>
      <c r="M68" s="1"/>
      <c r="O68" s="1"/>
      <c r="P68" s="1"/>
      <c r="Q68" s="1"/>
      <c r="R68" s="1"/>
      <c r="S68" s="3">
        <v>443</v>
      </c>
      <c r="T68" s="2" t="s">
        <v>413</v>
      </c>
      <c r="U68" s="2" t="s">
        <v>414</v>
      </c>
      <c r="V68" s="4" t="s">
        <v>415</v>
      </c>
    </row>
    <row r="69" spans="1:23" ht="15" customHeight="1" x14ac:dyDescent="0.25">
      <c r="A69" s="1" t="s">
        <v>416</v>
      </c>
      <c r="B69" s="1"/>
      <c r="C69" s="1" t="s">
        <v>417</v>
      </c>
      <c r="D69" s="1" t="s">
        <v>48</v>
      </c>
      <c r="E69" s="1" t="s">
        <v>49</v>
      </c>
      <c r="F69" s="1" t="s">
        <v>50</v>
      </c>
      <c r="G69" s="1" t="s">
        <v>418</v>
      </c>
      <c r="H69" s="9" t="s">
        <v>419</v>
      </c>
      <c r="I69" s="1" t="s">
        <v>287</v>
      </c>
      <c r="J69" s="1" t="s">
        <v>27</v>
      </c>
      <c r="K69" s="1" t="s">
        <v>288</v>
      </c>
      <c r="L69" s="1"/>
      <c r="M69" s="1"/>
      <c r="O69" s="1"/>
      <c r="P69" s="1" t="s">
        <v>54</v>
      </c>
      <c r="Q69" s="1"/>
      <c r="R69" s="1"/>
      <c r="S69" s="3">
        <v>357</v>
      </c>
      <c r="T69" s="2" t="s">
        <v>420</v>
      </c>
      <c r="U69" s="2" t="s">
        <v>421</v>
      </c>
      <c r="V69" s="4" t="s">
        <v>422</v>
      </c>
    </row>
    <row r="70" spans="1:23" ht="15" customHeight="1" x14ac:dyDescent="0.25">
      <c r="A70" s="1" t="s">
        <v>423</v>
      </c>
      <c r="B70" s="1" t="s">
        <v>859</v>
      </c>
      <c r="C70" s="1" t="s">
        <v>424</v>
      </c>
      <c r="D70" s="1" t="s">
        <v>48</v>
      </c>
      <c r="E70" s="1" t="s">
        <v>31</v>
      </c>
      <c r="F70" s="1" t="s">
        <v>50</v>
      </c>
      <c r="G70" s="1" t="s">
        <v>33</v>
      </c>
      <c r="H70" s="9" t="s">
        <v>425</v>
      </c>
      <c r="I70" s="1" t="s">
        <v>426</v>
      </c>
      <c r="J70" s="1" t="s">
        <v>27</v>
      </c>
      <c r="K70" s="1" t="s">
        <v>427</v>
      </c>
      <c r="L70" s="1"/>
      <c r="M70" s="1"/>
      <c r="O70" s="1"/>
      <c r="P70" s="1" t="s">
        <v>84</v>
      </c>
      <c r="Q70" s="1"/>
      <c r="R70" s="1"/>
      <c r="S70" s="3">
        <v>228</v>
      </c>
      <c r="T70" s="2"/>
      <c r="U70" s="2"/>
    </row>
    <row r="71" spans="1:23" ht="15" customHeight="1" x14ac:dyDescent="0.25">
      <c r="A71" s="1" t="s">
        <v>428</v>
      </c>
      <c r="B71" s="1"/>
      <c r="C71" s="1" t="s">
        <v>428</v>
      </c>
      <c r="D71" s="1" t="s">
        <v>48</v>
      </c>
      <c r="E71" s="1" t="s">
        <v>31</v>
      </c>
      <c r="F71" s="1" t="s">
        <v>50</v>
      </c>
      <c r="G71" s="1" t="s">
        <v>285</v>
      </c>
      <c r="H71" s="9" t="s">
        <v>429</v>
      </c>
      <c r="I71" s="1" t="s">
        <v>35</v>
      </c>
      <c r="J71" s="1" t="s">
        <v>27</v>
      </c>
      <c r="K71" s="1" t="s">
        <v>430</v>
      </c>
      <c r="L71" s="1"/>
      <c r="M71" s="1"/>
      <c r="O71" s="1"/>
      <c r="P71" s="1"/>
      <c r="Q71" s="1"/>
      <c r="R71" s="1"/>
      <c r="S71" s="3">
        <v>434</v>
      </c>
      <c r="T71" s="2"/>
      <c r="U71" s="2" t="s">
        <v>431</v>
      </c>
      <c r="V71" s="4" t="s">
        <v>432</v>
      </c>
    </row>
    <row r="72" spans="1:23" ht="15" customHeight="1" x14ac:dyDescent="0.25">
      <c r="A72" s="1" t="s">
        <v>433</v>
      </c>
      <c r="B72" s="1"/>
      <c r="C72" s="1" t="s">
        <v>434</v>
      </c>
      <c r="D72" s="1"/>
      <c r="E72" s="1" t="s">
        <v>31</v>
      </c>
      <c r="F72" s="1" t="s">
        <v>50</v>
      </c>
      <c r="G72" s="1" t="s">
        <v>33</v>
      </c>
      <c r="H72" s="9" t="s">
        <v>435</v>
      </c>
      <c r="I72" s="1" t="s">
        <v>35</v>
      </c>
      <c r="J72" s="1" t="s">
        <v>27</v>
      </c>
      <c r="K72" s="1" t="s">
        <v>436</v>
      </c>
      <c r="L72" s="1"/>
      <c r="M72" s="1"/>
      <c r="O72" s="1"/>
      <c r="P72" s="1"/>
      <c r="Q72" s="1"/>
      <c r="R72" s="1"/>
      <c r="S72" s="3">
        <v>441</v>
      </c>
      <c r="T72" s="2" t="s">
        <v>437</v>
      </c>
      <c r="U72" s="2" t="s">
        <v>438</v>
      </c>
      <c r="V72" s="4" t="s">
        <v>439</v>
      </c>
    </row>
    <row r="73" spans="1:23" ht="15" customHeight="1" x14ac:dyDescent="0.25">
      <c r="A73" s="1" t="s">
        <v>440</v>
      </c>
      <c r="B73" s="1"/>
      <c r="C73" s="1" t="s">
        <v>440</v>
      </c>
      <c r="D73" s="1" t="s">
        <v>48</v>
      </c>
      <c r="E73" s="1" t="s">
        <v>31</v>
      </c>
      <c r="F73" s="1" t="s">
        <v>50</v>
      </c>
      <c r="G73" s="5"/>
      <c r="H73" s="9" t="s">
        <v>441</v>
      </c>
      <c r="I73" s="1" t="s">
        <v>287</v>
      </c>
      <c r="J73" s="1" t="s">
        <v>27</v>
      </c>
      <c r="K73" s="1" t="s">
        <v>288</v>
      </c>
      <c r="L73" s="1" t="s">
        <v>75</v>
      </c>
      <c r="M73" s="1"/>
      <c r="O73" s="1"/>
      <c r="P73" s="1"/>
      <c r="Q73" s="1"/>
      <c r="R73" s="1"/>
      <c r="S73" s="3">
        <v>169</v>
      </c>
      <c r="T73" s="2"/>
      <c r="U73" s="2" t="s">
        <v>442</v>
      </c>
      <c r="W73" s="4" t="s">
        <v>443</v>
      </c>
    </row>
    <row r="74" spans="1:23" ht="15" customHeight="1" x14ac:dyDescent="0.25">
      <c r="A74" s="1" t="s">
        <v>444</v>
      </c>
      <c r="B74" s="1"/>
      <c r="C74" s="1" t="s">
        <v>445</v>
      </c>
      <c r="D74" s="1" t="s">
        <v>48</v>
      </c>
      <c r="E74" s="1" t="s">
        <v>31</v>
      </c>
      <c r="F74" s="1" t="s">
        <v>50</v>
      </c>
      <c r="G74" s="1" t="s">
        <v>446</v>
      </c>
      <c r="H74" s="9" t="s">
        <v>447</v>
      </c>
      <c r="I74" s="1" t="s">
        <v>82</v>
      </c>
      <c r="J74" s="1" t="s">
        <v>27</v>
      </c>
      <c r="K74" s="1" t="s">
        <v>448</v>
      </c>
      <c r="L74" s="1"/>
      <c r="M74" s="1"/>
      <c r="N74">
        <v>0</v>
      </c>
      <c r="O74" s="1"/>
      <c r="P74" s="1"/>
      <c r="Q74" s="1"/>
      <c r="R74" s="1"/>
      <c r="S74" s="3">
        <v>468</v>
      </c>
      <c r="T74" s="2" t="s">
        <v>449</v>
      </c>
      <c r="U74" s="2" t="s">
        <v>450</v>
      </c>
      <c r="V74" s="4" t="s">
        <v>451</v>
      </c>
    </row>
    <row r="75" spans="1:23" ht="15" customHeight="1" x14ac:dyDescent="0.25">
      <c r="A75" s="1" t="s">
        <v>452</v>
      </c>
      <c r="B75" s="1"/>
      <c r="C75" s="1" t="s">
        <v>453</v>
      </c>
      <c r="D75" s="1" t="s">
        <v>48</v>
      </c>
      <c r="E75" s="1" t="s">
        <v>49</v>
      </c>
      <c r="F75" s="1" t="s">
        <v>50</v>
      </c>
      <c r="G75" s="1" t="s">
        <v>33</v>
      </c>
      <c r="H75" s="9" t="s">
        <v>59</v>
      </c>
      <c r="I75" s="1" t="s">
        <v>35</v>
      </c>
      <c r="J75" s="1" t="s">
        <v>27</v>
      </c>
      <c r="K75" s="1" t="s">
        <v>454</v>
      </c>
      <c r="L75" s="1"/>
      <c r="M75" s="1"/>
      <c r="O75" s="1"/>
      <c r="P75" s="1"/>
      <c r="Q75" s="1"/>
      <c r="R75" s="1"/>
      <c r="S75" s="3">
        <v>230</v>
      </c>
      <c r="T75" s="2" t="s">
        <v>455</v>
      </c>
      <c r="U75" s="2" t="s">
        <v>456</v>
      </c>
      <c r="V75" s="4" t="s">
        <v>457</v>
      </c>
    </row>
    <row r="76" spans="1:23" ht="15" customHeight="1" x14ac:dyDescent="0.25">
      <c r="A76" s="1" t="s">
        <v>458</v>
      </c>
      <c r="B76" s="1"/>
      <c r="C76" s="1" t="s">
        <v>458</v>
      </c>
      <c r="D76" s="1" t="s">
        <v>30</v>
      </c>
      <c r="E76" s="1" t="s">
        <v>31</v>
      </c>
      <c r="F76" s="1" t="s">
        <v>50</v>
      </c>
      <c r="G76" s="1" t="s">
        <v>33</v>
      </c>
      <c r="H76" s="9" t="s">
        <v>459</v>
      </c>
      <c r="I76" s="1" t="s">
        <v>35</v>
      </c>
      <c r="J76" s="1" t="s">
        <v>27</v>
      </c>
      <c r="K76" s="1" t="s">
        <v>36</v>
      </c>
      <c r="L76" s="1" t="s">
        <v>37</v>
      </c>
      <c r="M76" s="1"/>
      <c r="N76">
        <v>50</v>
      </c>
      <c r="O76" s="1" t="s">
        <v>30</v>
      </c>
      <c r="P76" s="1"/>
      <c r="Q76" s="1" t="s">
        <v>152</v>
      </c>
      <c r="R76" s="1" t="s">
        <v>111</v>
      </c>
      <c r="S76" s="3">
        <v>82</v>
      </c>
      <c r="T76" s="2"/>
      <c r="U76" s="2" t="s">
        <v>460</v>
      </c>
      <c r="V76" s="4" t="s">
        <v>461</v>
      </c>
      <c r="W76" s="4" t="s">
        <v>462</v>
      </c>
    </row>
    <row r="77" spans="1:23" ht="15" customHeight="1" x14ac:dyDescent="0.25">
      <c r="A77" s="1" t="s">
        <v>463</v>
      </c>
      <c r="B77" s="1"/>
      <c r="C77" s="1" t="s">
        <v>464</v>
      </c>
      <c r="D77" s="1" t="s">
        <v>161</v>
      </c>
      <c r="E77" s="1" t="s">
        <v>162</v>
      </c>
      <c r="F77" s="1"/>
      <c r="G77" s="1" t="s">
        <v>33</v>
      </c>
      <c r="H77" s="9" t="s">
        <v>465</v>
      </c>
      <c r="I77" s="1" t="s">
        <v>466</v>
      </c>
      <c r="J77" s="1" t="s">
        <v>27</v>
      </c>
      <c r="K77" s="1" t="s">
        <v>467</v>
      </c>
      <c r="L77" s="1"/>
      <c r="M77" s="1"/>
      <c r="O77" s="1"/>
      <c r="P77" s="1"/>
      <c r="Q77" s="1"/>
      <c r="R77" s="1"/>
      <c r="S77" s="3">
        <v>274</v>
      </c>
      <c r="T77" s="2" t="s">
        <v>468</v>
      </c>
      <c r="U77" s="2" t="s">
        <v>469</v>
      </c>
      <c r="V77" s="4" t="s">
        <v>470</v>
      </c>
    </row>
    <row r="78" spans="1:23" ht="15" customHeight="1" x14ac:dyDescent="0.25">
      <c r="A78" s="1" t="s">
        <v>471</v>
      </c>
      <c r="B78" s="1"/>
      <c r="C78" s="1" t="s">
        <v>471</v>
      </c>
      <c r="D78" s="1"/>
      <c r="E78" s="1" t="s">
        <v>31</v>
      </c>
      <c r="F78" s="1" t="s">
        <v>25</v>
      </c>
      <c r="G78" s="1"/>
      <c r="H78" s="9" t="s">
        <v>472</v>
      </c>
      <c r="I78" s="1" t="s">
        <v>26</v>
      </c>
      <c r="J78" s="1" t="s">
        <v>27</v>
      </c>
      <c r="K78" s="1" t="s">
        <v>473</v>
      </c>
      <c r="L78" s="1"/>
      <c r="M78" s="1"/>
      <c r="O78" s="1"/>
      <c r="P78" s="1"/>
      <c r="Q78" s="1"/>
      <c r="R78" s="1"/>
      <c r="S78" s="3">
        <v>389</v>
      </c>
      <c r="T78" s="2"/>
      <c r="U78" s="2" t="s">
        <v>474</v>
      </c>
      <c r="V78" s="4" t="s">
        <v>475</v>
      </c>
    </row>
    <row r="79" spans="1:23" ht="15" customHeight="1" x14ac:dyDescent="0.25">
      <c r="A79" s="1" t="s">
        <v>476</v>
      </c>
      <c r="B79" s="1"/>
      <c r="C79" s="1" t="s">
        <v>477</v>
      </c>
      <c r="D79" s="1" t="s">
        <v>48</v>
      </c>
      <c r="E79" s="1" t="s">
        <v>142</v>
      </c>
      <c r="F79" s="1" t="s">
        <v>50</v>
      </c>
      <c r="G79" s="1"/>
      <c r="H79" s="9" t="s">
        <v>478</v>
      </c>
      <c r="I79" s="1" t="s">
        <v>143</v>
      </c>
      <c r="J79" s="1" t="s">
        <v>27</v>
      </c>
      <c r="K79" s="1" t="s">
        <v>144</v>
      </c>
      <c r="L79" s="1"/>
      <c r="M79" s="1"/>
      <c r="O79" s="1"/>
      <c r="P79" s="1"/>
      <c r="Q79" s="1"/>
      <c r="R79" s="1"/>
      <c r="S79" s="3">
        <v>456</v>
      </c>
      <c r="T79" s="2"/>
      <c r="U79" s="2" t="s">
        <v>479</v>
      </c>
      <c r="V79" s="4" t="s">
        <v>480</v>
      </c>
    </row>
    <row r="80" spans="1:23" ht="15" customHeight="1" x14ac:dyDescent="0.25">
      <c r="A80" s="1" t="s">
        <v>481</v>
      </c>
      <c r="B80" s="1"/>
      <c r="C80" s="1" t="s">
        <v>482</v>
      </c>
      <c r="D80" s="1" t="s">
        <v>48</v>
      </c>
      <c r="E80" s="1" t="s">
        <v>31</v>
      </c>
      <c r="F80" s="1" t="s">
        <v>25</v>
      </c>
      <c r="G80" s="1" t="s">
        <v>483</v>
      </c>
      <c r="H80" s="9" t="s">
        <v>484</v>
      </c>
      <c r="I80" s="1" t="s">
        <v>26</v>
      </c>
      <c r="J80" s="1" t="s">
        <v>27</v>
      </c>
      <c r="K80" s="1" t="s">
        <v>473</v>
      </c>
      <c r="L80" s="1" t="s">
        <v>75</v>
      </c>
      <c r="M80" s="1"/>
      <c r="O80" s="1"/>
      <c r="P80" s="1"/>
      <c r="Q80" s="1"/>
      <c r="R80" s="1"/>
      <c r="S80" s="3">
        <v>141</v>
      </c>
      <c r="T80" s="2" t="s">
        <v>485</v>
      </c>
      <c r="U80" s="2" t="s">
        <v>486</v>
      </c>
      <c r="V80" s="4" t="s">
        <v>487</v>
      </c>
    </row>
    <row r="81" spans="1:23" ht="15" customHeight="1" x14ac:dyDescent="0.25">
      <c r="A81" s="1" t="s">
        <v>488</v>
      </c>
      <c r="B81" s="1"/>
      <c r="C81" s="1" t="s">
        <v>488</v>
      </c>
      <c r="D81" s="1" t="s">
        <v>30</v>
      </c>
      <c r="E81" s="1" t="s">
        <v>31</v>
      </c>
      <c r="F81" s="1" t="s">
        <v>50</v>
      </c>
      <c r="G81" s="1" t="s">
        <v>33</v>
      </c>
      <c r="H81" s="9" t="s">
        <v>489</v>
      </c>
      <c r="I81" s="1" t="s">
        <v>35</v>
      </c>
      <c r="J81" s="1" t="s">
        <v>27</v>
      </c>
      <c r="K81" s="1" t="s">
        <v>490</v>
      </c>
      <c r="L81" s="1"/>
      <c r="M81" s="1"/>
      <c r="O81" s="1"/>
      <c r="P81" s="1"/>
      <c r="Q81" s="1"/>
      <c r="R81" s="1"/>
      <c r="S81" s="3">
        <v>467</v>
      </c>
      <c r="T81" s="2" t="s">
        <v>491</v>
      </c>
      <c r="U81" s="2" t="s">
        <v>492</v>
      </c>
      <c r="V81" s="4" t="s">
        <v>493</v>
      </c>
    </row>
    <row r="82" spans="1:23" ht="15" customHeight="1" x14ac:dyDescent="0.25">
      <c r="A82" s="1" t="s">
        <v>494</v>
      </c>
      <c r="B82" s="1"/>
      <c r="C82" s="1" t="s">
        <v>495</v>
      </c>
      <c r="D82" s="1" t="s">
        <v>48</v>
      </c>
      <c r="E82" s="1" t="s">
        <v>31</v>
      </c>
      <c r="F82" s="1" t="s">
        <v>50</v>
      </c>
      <c r="G82" s="1"/>
      <c r="H82" s="9" t="s">
        <v>496</v>
      </c>
      <c r="I82" s="1" t="s">
        <v>497</v>
      </c>
      <c r="J82" s="1" t="s">
        <v>27</v>
      </c>
      <c r="K82" s="1" t="s">
        <v>498</v>
      </c>
      <c r="L82" s="1"/>
      <c r="M82" s="1"/>
      <c r="N82">
        <v>0</v>
      </c>
      <c r="O82" s="1"/>
      <c r="P82" s="1"/>
      <c r="Q82" s="1"/>
      <c r="R82" s="1"/>
      <c r="S82" s="3">
        <v>420</v>
      </c>
      <c r="T82" s="2"/>
      <c r="U82" s="2" t="s">
        <v>499</v>
      </c>
      <c r="V82" s="4" t="s">
        <v>500</v>
      </c>
      <c r="W82" s="4" t="s">
        <v>501</v>
      </c>
    </row>
    <row r="83" spans="1:23" ht="15" customHeight="1" x14ac:dyDescent="0.25">
      <c r="A83" s="1" t="s">
        <v>494</v>
      </c>
      <c r="B83" s="1"/>
      <c r="C83" s="1" t="s">
        <v>502</v>
      </c>
      <c r="D83" s="1" t="s">
        <v>48</v>
      </c>
      <c r="E83" s="1" t="s">
        <v>31</v>
      </c>
      <c r="F83" s="1" t="s">
        <v>50</v>
      </c>
      <c r="G83" s="1"/>
      <c r="H83" s="9" t="s">
        <v>503</v>
      </c>
      <c r="I83" s="1" t="s">
        <v>82</v>
      </c>
      <c r="J83" s="1" t="s">
        <v>27</v>
      </c>
      <c r="K83" s="1" t="s">
        <v>504</v>
      </c>
      <c r="L83" s="1" t="s">
        <v>75</v>
      </c>
      <c r="M83" s="1"/>
      <c r="N83">
        <v>0</v>
      </c>
      <c r="O83" s="1"/>
      <c r="P83" s="1"/>
      <c r="Q83" s="1" t="s">
        <v>342</v>
      </c>
      <c r="R83" s="1"/>
      <c r="S83" s="3">
        <v>115</v>
      </c>
      <c r="T83" s="2" t="s">
        <v>505</v>
      </c>
      <c r="U83" s="2" t="s">
        <v>506</v>
      </c>
      <c r="W83" s="4" t="s">
        <v>501</v>
      </c>
    </row>
    <row r="84" spans="1:23" ht="15" customHeight="1" x14ac:dyDescent="0.25">
      <c r="A84" s="1" t="s">
        <v>494</v>
      </c>
      <c r="B84" s="1"/>
      <c r="C84" s="1" t="s">
        <v>507</v>
      </c>
      <c r="D84" s="1" t="s">
        <v>48</v>
      </c>
      <c r="E84" s="1" t="s">
        <v>31</v>
      </c>
      <c r="F84" s="1" t="s">
        <v>50</v>
      </c>
      <c r="G84" s="1"/>
      <c r="H84" s="9" t="s">
        <v>508</v>
      </c>
      <c r="I84" s="1" t="s">
        <v>35</v>
      </c>
      <c r="J84" s="1" t="s">
        <v>27</v>
      </c>
      <c r="K84" s="1" t="s">
        <v>509</v>
      </c>
      <c r="L84" s="1"/>
      <c r="M84" s="1"/>
      <c r="N84">
        <v>0</v>
      </c>
      <c r="O84" s="1"/>
      <c r="P84" s="1"/>
      <c r="Q84" s="1"/>
      <c r="R84" s="1"/>
      <c r="S84" s="3">
        <v>433</v>
      </c>
      <c r="T84" s="2" t="s">
        <v>510</v>
      </c>
      <c r="U84" s="2" t="s">
        <v>506</v>
      </c>
      <c r="V84" s="4" t="s">
        <v>511</v>
      </c>
      <c r="W84" s="4" t="s">
        <v>501</v>
      </c>
    </row>
    <row r="85" spans="1:23" ht="15" customHeight="1" x14ac:dyDescent="0.25">
      <c r="A85" s="1" t="s">
        <v>494</v>
      </c>
      <c r="B85" s="1"/>
      <c r="C85" s="1" t="s">
        <v>512</v>
      </c>
      <c r="D85" s="1" t="s">
        <v>48</v>
      </c>
      <c r="E85" s="1" t="s">
        <v>31</v>
      </c>
      <c r="F85" s="1" t="s">
        <v>50</v>
      </c>
      <c r="G85" s="1"/>
      <c r="H85" s="9" t="s">
        <v>465</v>
      </c>
      <c r="I85" s="1" t="s">
        <v>513</v>
      </c>
      <c r="J85" s="1" t="s">
        <v>27</v>
      </c>
      <c r="K85" s="1" t="s">
        <v>514</v>
      </c>
      <c r="L85" s="1"/>
      <c r="M85" s="1"/>
      <c r="N85">
        <v>0</v>
      </c>
      <c r="O85" s="1"/>
      <c r="P85" s="1"/>
      <c r="Q85" s="1"/>
      <c r="R85" s="1"/>
      <c r="S85" s="3">
        <v>464</v>
      </c>
      <c r="T85" s="2"/>
      <c r="U85" s="2"/>
    </row>
    <row r="86" spans="1:23" ht="15" customHeight="1" x14ac:dyDescent="0.25">
      <c r="A86" s="1" t="s">
        <v>515</v>
      </c>
      <c r="B86" s="1"/>
      <c r="C86" s="1" t="s">
        <v>515</v>
      </c>
      <c r="D86" s="1" t="s">
        <v>48</v>
      </c>
      <c r="E86" s="1" t="s">
        <v>31</v>
      </c>
      <c r="F86" s="10"/>
      <c r="G86" s="1"/>
      <c r="H86" s="9" t="s">
        <v>516</v>
      </c>
      <c r="I86" s="1" t="s">
        <v>26</v>
      </c>
      <c r="J86" s="5" t="s">
        <v>27</v>
      </c>
      <c r="K86" s="1"/>
      <c r="L86" s="1"/>
      <c r="M86" s="1"/>
      <c r="O86" s="1"/>
      <c r="P86" s="1"/>
      <c r="Q86" s="1"/>
      <c r="R86" s="1"/>
      <c r="S86" s="3">
        <v>418</v>
      </c>
      <c r="T86" s="2"/>
      <c r="U86" s="2" t="s">
        <v>517</v>
      </c>
      <c r="V86" s="4" t="s">
        <v>518</v>
      </c>
    </row>
    <row r="87" spans="1:23" ht="15" customHeight="1" x14ac:dyDescent="0.25">
      <c r="A87" s="1" t="s">
        <v>519</v>
      </c>
      <c r="B87" s="1"/>
      <c r="C87" s="1" t="s">
        <v>519</v>
      </c>
      <c r="D87" s="1" t="s">
        <v>30</v>
      </c>
      <c r="E87" s="1" t="s">
        <v>31</v>
      </c>
      <c r="G87" s="1" t="s">
        <v>33</v>
      </c>
      <c r="H87" s="9" t="s">
        <v>124</v>
      </c>
      <c r="I87" s="1" t="s">
        <v>35</v>
      </c>
      <c r="J87" s="1" t="s">
        <v>27</v>
      </c>
      <c r="K87" s="1" t="s">
        <v>520</v>
      </c>
      <c r="L87" s="1"/>
      <c r="M87" s="1"/>
      <c r="O87" s="1"/>
      <c r="P87" s="1"/>
      <c r="Q87" s="1"/>
      <c r="R87" s="1"/>
      <c r="S87" s="3">
        <v>201</v>
      </c>
      <c r="T87" s="2" t="s">
        <v>521</v>
      </c>
      <c r="U87" s="2" t="s">
        <v>522</v>
      </c>
      <c r="V87" s="4" t="s">
        <v>523</v>
      </c>
    </row>
    <row r="88" spans="1:23" ht="15" customHeight="1" x14ac:dyDescent="0.25">
      <c r="A88" s="1" t="s">
        <v>89</v>
      </c>
      <c r="B88" s="1"/>
      <c r="C88" s="1" t="s">
        <v>524</v>
      </c>
      <c r="D88" s="1" t="s">
        <v>48</v>
      </c>
      <c r="E88" s="1" t="s">
        <v>65</v>
      </c>
      <c r="F88" s="11"/>
      <c r="G88" s="1"/>
      <c r="H88" s="9" t="s">
        <v>525</v>
      </c>
      <c r="I88" s="1" t="s">
        <v>35</v>
      </c>
      <c r="J88" s="1" t="s">
        <v>27</v>
      </c>
      <c r="K88" s="1" t="s">
        <v>232</v>
      </c>
      <c r="L88" s="1"/>
      <c r="M88" s="1"/>
      <c r="O88" s="1"/>
      <c r="P88" s="1" t="s">
        <v>54</v>
      </c>
      <c r="Q88" s="1" t="s">
        <v>92</v>
      </c>
      <c r="R88" s="1"/>
      <c r="S88" s="3">
        <v>369</v>
      </c>
      <c r="T88" s="2"/>
      <c r="U88" s="2" t="s">
        <v>526</v>
      </c>
      <c r="V88" s="4" t="s">
        <v>527</v>
      </c>
    </row>
    <row r="89" spans="1:23" ht="15" customHeight="1" x14ac:dyDescent="0.25">
      <c r="A89" s="1" t="s">
        <v>89</v>
      </c>
      <c r="B89" s="1"/>
      <c r="C89" s="1" t="s">
        <v>528</v>
      </c>
      <c r="D89" s="1" t="s">
        <v>48</v>
      </c>
      <c r="E89" s="1" t="s">
        <v>65</v>
      </c>
      <c r="G89" s="1"/>
      <c r="H89" s="9" t="s">
        <v>124</v>
      </c>
      <c r="I89" s="1" t="s">
        <v>35</v>
      </c>
      <c r="J89" s="1" t="s">
        <v>27</v>
      </c>
      <c r="K89" s="1" t="s">
        <v>473</v>
      </c>
      <c r="L89" s="1"/>
      <c r="M89" s="1"/>
      <c r="O89" s="1"/>
      <c r="P89" s="1" t="s">
        <v>54</v>
      </c>
      <c r="Q89" s="1" t="s">
        <v>92</v>
      </c>
      <c r="R89" s="1"/>
      <c r="S89" s="3">
        <v>206</v>
      </c>
      <c r="T89" s="2" t="s">
        <v>529</v>
      </c>
      <c r="U89" s="2" t="s">
        <v>530</v>
      </c>
      <c r="V89" s="4" t="s">
        <v>531</v>
      </c>
    </row>
    <row r="90" spans="1:23" ht="15" customHeight="1" x14ac:dyDescent="0.25">
      <c r="A90" s="1" t="s">
        <v>89</v>
      </c>
      <c r="B90" s="1"/>
      <c r="C90" s="1" t="s">
        <v>532</v>
      </c>
      <c r="D90" s="1" t="s">
        <v>48</v>
      </c>
      <c r="E90" s="1" t="s">
        <v>65</v>
      </c>
      <c r="F90" s="10"/>
      <c r="G90" s="1"/>
      <c r="H90" s="9" t="s">
        <v>533</v>
      </c>
      <c r="I90" s="1" t="s">
        <v>35</v>
      </c>
      <c r="J90" s="1" t="s">
        <v>27</v>
      </c>
      <c r="K90" s="1" t="s">
        <v>132</v>
      </c>
      <c r="L90" s="1"/>
      <c r="M90" s="1"/>
      <c r="O90" s="1"/>
      <c r="P90" s="1" t="s">
        <v>54</v>
      </c>
      <c r="Q90" s="1" t="s">
        <v>92</v>
      </c>
      <c r="R90" s="1"/>
      <c r="S90" s="3">
        <v>386</v>
      </c>
      <c r="T90" s="2"/>
      <c r="U90" s="2"/>
    </row>
    <row r="91" spans="1:23" ht="15" customHeight="1" x14ac:dyDescent="0.25">
      <c r="A91" s="1" t="s">
        <v>534</v>
      </c>
      <c r="B91" s="1"/>
      <c r="C91" s="1" t="s">
        <v>535</v>
      </c>
      <c r="D91" s="1" t="s">
        <v>30</v>
      </c>
      <c r="E91" s="1" t="s">
        <v>31</v>
      </c>
      <c r="F91" s="11"/>
      <c r="G91" s="1" t="s">
        <v>33</v>
      </c>
      <c r="H91" s="9" t="s">
        <v>536</v>
      </c>
      <c r="I91" s="1" t="s">
        <v>35</v>
      </c>
      <c r="J91" s="1" t="s">
        <v>27</v>
      </c>
      <c r="K91" s="1" t="s">
        <v>132</v>
      </c>
      <c r="L91" s="1" t="s">
        <v>37</v>
      </c>
      <c r="M91" s="1" t="s">
        <v>537</v>
      </c>
      <c r="N91">
        <v>50</v>
      </c>
      <c r="O91" s="1" t="s">
        <v>30</v>
      </c>
      <c r="P91" s="1" t="s">
        <v>366</v>
      </c>
      <c r="Q91" s="1" t="s">
        <v>152</v>
      </c>
      <c r="R91" s="1"/>
      <c r="S91" s="3">
        <v>105</v>
      </c>
      <c r="T91" s="2" t="s">
        <v>538</v>
      </c>
      <c r="U91" s="2" t="s">
        <v>539</v>
      </c>
      <c r="V91" s="4" t="s">
        <v>540</v>
      </c>
    </row>
    <row r="92" spans="1:23" ht="15" customHeight="1" x14ac:dyDescent="0.25">
      <c r="A92" s="1" t="s">
        <v>541</v>
      </c>
      <c r="B92" s="1"/>
      <c r="C92" s="1" t="s">
        <v>542</v>
      </c>
      <c r="D92" s="1" t="s">
        <v>30</v>
      </c>
      <c r="E92" s="1" t="s">
        <v>31</v>
      </c>
      <c r="F92" s="11"/>
      <c r="G92" s="1" t="s">
        <v>33</v>
      </c>
      <c r="H92" s="9" t="s">
        <v>137</v>
      </c>
      <c r="I92" s="1" t="s">
        <v>60</v>
      </c>
      <c r="J92" s="5" t="s">
        <v>27</v>
      </c>
      <c r="K92" s="1"/>
      <c r="L92" s="1"/>
      <c r="M92" s="1"/>
      <c r="O92" s="1"/>
      <c r="P92" s="1"/>
      <c r="Q92" s="1"/>
      <c r="R92" s="1"/>
      <c r="S92" s="3">
        <v>399</v>
      </c>
      <c r="T92" s="2"/>
      <c r="U92" s="2" t="s">
        <v>543</v>
      </c>
      <c r="V92" s="4" t="s">
        <v>544</v>
      </c>
    </row>
    <row r="93" spans="1:23" ht="15" customHeight="1" x14ac:dyDescent="0.25">
      <c r="A93" s="1" t="s">
        <v>545</v>
      </c>
      <c r="B93" s="1"/>
      <c r="C93" s="1" t="s">
        <v>546</v>
      </c>
      <c r="D93" s="1" t="s">
        <v>30</v>
      </c>
      <c r="E93" s="1" t="s">
        <v>49</v>
      </c>
      <c r="F93" s="1" t="s">
        <v>50</v>
      </c>
      <c r="G93" s="1"/>
      <c r="H93" s="9" t="s">
        <v>547</v>
      </c>
      <c r="I93" s="1" t="s">
        <v>82</v>
      </c>
      <c r="J93" s="1" t="s">
        <v>27</v>
      </c>
      <c r="K93" s="1" t="s">
        <v>548</v>
      </c>
      <c r="L93" s="1"/>
      <c r="M93" s="1"/>
      <c r="O93" s="1"/>
      <c r="P93" s="1"/>
      <c r="Q93" s="1"/>
      <c r="R93" s="1"/>
      <c r="S93" s="3">
        <v>362</v>
      </c>
      <c r="T93" s="2" t="s">
        <v>549</v>
      </c>
      <c r="U93" s="2" t="s">
        <v>550</v>
      </c>
      <c r="V93" s="4" t="s">
        <v>551</v>
      </c>
    </row>
    <row r="94" spans="1:23" ht="15" customHeight="1" x14ac:dyDescent="0.25">
      <c r="A94" s="1" t="s">
        <v>552</v>
      </c>
      <c r="B94" s="1"/>
      <c r="C94" s="1" t="s">
        <v>553</v>
      </c>
      <c r="D94" s="1" t="s">
        <v>30</v>
      </c>
      <c r="E94" s="1" t="s">
        <v>49</v>
      </c>
      <c r="F94" s="1" t="s">
        <v>50</v>
      </c>
      <c r="G94" s="1"/>
      <c r="H94" s="9" t="s">
        <v>554</v>
      </c>
      <c r="I94" s="1" t="s">
        <v>35</v>
      </c>
      <c r="J94" s="1" t="s">
        <v>27</v>
      </c>
      <c r="K94" s="1" t="s">
        <v>400</v>
      </c>
      <c r="L94" s="1"/>
      <c r="M94" s="1"/>
      <c r="N94">
        <v>25</v>
      </c>
      <c r="O94" s="1"/>
      <c r="P94" s="1"/>
      <c r="Q94" s="1"/>
      <c r="R94" s="1"/>
      <c r="S94" s="3">
        <v>463</v>
      </c>
      <c r="T94" s="2"/>
      <c r="U94" s="2" t="s">
        <v>555</v>
      </c>
      <c r="V94" s="4" t="s">
        <v>556</v>
      </c>
      <c r="W94" s="4" t="s">
        <v>557</v>
      </c>
    </row>
    <row r="95" spans="1:23" ht="15" customHeight="1" x14ac:dyDescent="0.25">
      <c r="A95" s="1" t="s">
        <v>558</v>
      </c>
      <c r="B95" s="1"/>
      <c r="C95" s="1" t="s">
        <v>559</v>
      </c>
      <c r="D95" s="1" t="s">
        <v>48</v>
      </c>
      <c r="E95" s="1" t="s">
        <v>31</v>
      </c>
      <c r="F95" s="1" t="s">
        <v>50</v>
      </c>
      <c r="G95" s="1"/>
      <c r="H95" s="9" t="s">
        <v>560</v>
      </c>
      <c r="I95" s="1" t="s">
        <v>82</v>
      </c>
      <c r="J95" s="1" t="s">
        <v>27</v>
      </c>
      <c r="K95" s="1" t="s">
        <v>561</v>
      </c>
      <c r="L95" s="1"/>
      <c r="M95" s="1"/>
      <c r="N95">
        <v>0</v>
      </c>
      <c r="O95" s="1"/>
      <c r="P95" s="1"/>
      <c r="Q95" s="1"/>
      <c r="R95" s="1"/>
      <c r="S95" s="3">
        <v>280</v>
      </c>
      <c r="T95" s="2" t="s">
        <v>562</v>
      </c>
      <c r="U95" s="2" t="s">
        <v>563</v>
      </c>
      <c r="V95" s="4" t="s">
        <v>564</v>
      </c>
    </row>
    <row r="96" spans="1:23" ht="15" customHeight="1" x14ac:dyDescent="0.25">
      <c r="A96" s="1" t="s">
        <v>565</v>
      </c>
      <c r="B96" s="1"/>
      <c r="C96" s="1" t="s">
        <v>566</v>
      </c>
      <c r="D96" s="1" t="s">
        <v>30</v>
      </c>
      <c r="E96" s="1" t="s">
        <v>31</v>
      </c>
      <c r="F96" s="1" t="s">
        <v>50</v>
      </c>
      <c r="G96" s="1" t="s">
        <v>33</v>
      </c>
      <c r="H96" s="9" t="s">
        <v>567</v>
      </c>
      <c r="I96" s="1" t="s">
        <v>35</v>
      </c>
      <c r="J96" s="1" t="s">
        <v>27</v>
      </c>
      <c r="K96" s="1" t="s">
        <v>277</v>
      </c>
      <c r="L96" s="1" t="s">
        <v>37</v>
      </c>
      <c r="M96" s="1"/>
      <c r="N96">
        <v>73.33</v>
      </c>
      <c r="O96" s="1" t="s">
        <v>110</v>
      </c>
      <c r="P96" s="1" t="s">
        <v>119</v>
      </c>
      <c r="Q96" s="1" t="s">
        <v>120</v>
      </c>
      <c r="R96" s="1"/>
      <c r="S96" s="3">
        <v>76</v>
      </c>
      <c r="T96" s="2" t="s">
        <v>568</v>
      </c>
      <c r="U96" s="2" t="s">
        <v>569</v>
      </c>
      <c r="V96" s="4" t="s">
        <v>570</v>
      </c>
    </row>
    <row r="97" spans="1:23" ht="15" customHeight="1" x14ac:dyDescent="0.25">
      <c r="A97" s="1" t="s">
        <v>571</v>
      </c>
      <c r="B97" s="1" t="s">
        <v>860</v>
      </c>
      <c r="C97" s="1" t="s">
        <v>572</v>
      </c>
      <c r="D97" s="1" t="s">
        <v>48</v>
      </c>
      <c r="E97" s="1" t="s">
        <v>31</v>
      </c>
      <c r="F97" s="1" t="s">
        <v>50</v>
      </c>
      <c r="G97" s="1"/>
      <c r="H97" s="9" t="s">
        <v>573</v>
      </c>
      <c r="I97" s="1" t="s">
        <v>82</v>
      </c>
      <c r="J97" s="1" t="s">
        <v>27</v>
      </c>
      <c r="K97" s="1" t="s">
        <v>548</v>
      </c>
      <c r="L97" s="1"/>
      <c r="M97" s="1"/>
      <c r="N97">
        <v>0</v>
      </c>
      <c r="O97" s="1"/>
      <c r="P97" s="1"/>
      <c r="Q97" s="1"/>
      <c r="R97" s="1"/>
      <c r="S97" s="3">
        <v>364</v>
      </c>
      <c r="T97" s="2" t="s">
        <v>574</v>
      </c>
      <c r="U97" s="2" t="s">
        <v>575</v>
      </c>
      <c r="V97" s="4" t="s">
        <v>576</v>
      </c>
    </row>
    <row r="98" spans="1:23" ht="15" customHeight="1" x14ac:dyDescent="0.25">
      <c r="A98" s="1" t="s">
        <v>577</v>
      </c>
      <c r="B98" s="1"/>
      <c r="C98" s="1" t="s">
        <v>578</v>
      </c>
      <c r="D98" s="1" t="s">
        <v>107</v>
      </c>
      <c r="E98" s="1" t="s">
        <v>31</v>
      </c>
      <c r="F98" s="1" t="s">
        <v>50</v>
      </c>
      <c r="G98" s="1"/>
      <c r="H98" s="9" t="s">
        <v>579</v>
      </c>
      <c r="I98" s="1" t="s">
        <v>35</v>
      </c>
      <c r="J98" s="1" t="s">
        <v>27</v>
      </c>
      <c r="K98" s="1" t="s">
        <v>580</v>
      </c>
      <c r="L98" s="1" t="s">
        <v>75</v>
      </c>
      <c r="M98" s="1"/>
      <c r="O98" s="1"/>
      <c r="P98" s="1"/>
      <c r="Q98" s="1"/>
      <c r="R98" s="1"/>
      <c r="S98" s="3">
        <v>163</v>
      </c>
      <c r="T98" s="2" t="s">
        <v>581</v>
      </c>
      <c r="U98" s="2" t="s">
        <v>582</v>
      </c>
      <c r="V98" s="4" t="s">
        <v>583</v>
      </c>
    </row>
    <row r="99" spans="1:23" ht="15" customHeight="1" x14ac:dyDescent="0.25">
      <c r="A99" s="1" t="s">
        <v>584</v>
      </c>
      <c r="B99" s="1"/>
      <c r="C99" s="1" t="s">
        <v>584</v>
      </c>
      <c r="D99" s="1" t="s">
        <v>30</v>
      </c>
      <c r="E99" s="1" t="s">
        <v>31</v>
      </c>
      <c r="F99" s="1" t="s">
        <v>50</v>
      </c>
      <c r="G99" s="1"/>
      <c r="H99" s="9" t="s">
        <v>585</v>
      </c>
      <c r="I99" s="1" t="s">
        <v>35</v>
      </c>
      <c r="J99" s="1" t="s">
        <v>27</v>
      </c>
      <c r="K99" s="1" t="s">
        <v>586</v>
      </c>
      <c r="L99" s="1" t="s">
        <v>37</v>
      </c>
      <c r="M99" s="1" t="s">
        <v>587</v>
      </c>
      <c r="N99">
        <v>50</v>
      </c>
      <c r="O99" s="1" t="s">
        <v>30</v>
      </c>
      <c r="P99" s="1"/>
      <c r="Q99" s="1"/>
      <c r="R99" s="1"/>
      <c r="S99" s="3">
        <v>103</v>
      </c>
      <c r="T99" s="2"/>
      <c r="U99" s="2"/>
    </row>
    <row r="100" spans="1:23" ht="15" customHeight="1" x14ac:dyDescent="0.25">
      <c r="A100" s="1" t="s">
        <v>588</v>
      </c>
      <c r="B100" s="1"/>
      <c r="C100" s="1" t="s">
        <v>589</v>
      </c>
      <c r="D100" s="1" t="s">
        <v>42</v>
      </c>
      <c r="E100" s="1" t="s">
        <v>65</v>
      </c>
      <c r="F100" s="1"/>
      <c r="G100" s="1" t="s">
        <v>33</v>
      </c>
      <c r="H100" s="9" t="s">
        <v>590</v>
      </c>
      <c r="I100" s="1" t="s">
        <v>82</v>
      </c>
      <c r="J100" s="1" t="s">
        <v>27</v>
      </c>
      <c r="K100" s="1" t="s">
        <v>591</v>
      </c>
      <c r="L100" s="1"/>
      <c r="M100" s="1"/>
      <c r="O100" s="1"/>
      <c r="P100" s="1"/>
      <c r="Q100" s="1"/>
      <c r="R100" s="1"/>
      <c r="S100" s="3">
        <v>371</v>
      </c>
      <c r="T100" s="2" t="s">
        <v>592</v>
      </c>
      <c r="U100" s="2" t="s">
        <v>593</v>
      </c>
      <c r="V100" s="4" t="s">
        <v>594</v>
      </c>
      <c r="W100" s="4" t="s">
        <v>346</v>
      </c>
    </row>
    <row r="101" spans="1:23" ht="15" customHeight="1" x14ac:dyDescent="0.25">
      <c r="A101" s="1" t="s">
        <v>595</v>
      </c>
      <c r="B101" s="1"/>
      <c r="C101" s="1" t="s">
        <v>596</v>
      </c>
      <c r="D101" s="1"/>
      <c r="E101" s="1" t="s">
        <v>24</v>
      </c>
      <c r="F101" s="1" t="s">
        <v>25</v>
      </c>
      <c r="G101" s="1"/>
      <c r="H101" s="9" t="s">
        <v>597</v>
      </c>
      <c r="I101" s="1" t="s">
        <v>26</v>
      </c>
      <c r="J101" s="1" t="s">
        <v>27</v>
      </c>
      <c r="K101" s="1" t="s">
        <v>203</v>
      </c>
      <c r="L101" s="1"/>
      <c r="M101" s="1"/>
      <c r="N101">
        <v>0</v>
      </c>
      <c r="O101" s="1"/>
      <c r="P101" s="1"/>
      <c r="Q101" s="1"/>
      <c r="R101" s="1"/>
      <c r="S101" s="3">
        <v>466</v>
      </c>
      <c r="T101" s="2" t="s">
        <v>598</v>
      </c>
      <c r="U101" s="2" t="s">
        <v>599</v>
      </c>
      <c r="V101" s="4" t="s">
        <v>600</v>
      </c>
    </row>
    <row r="102" spans="1:23" ht="15" customHeight="1" x14ac:dyDescent="0.25">
      <c r="A102" s="1" t="s">
        <v>601</v>
      </c>
      <c r="B102" s="1"/>
      <c r="C102" s="1" t="s">
        <v>602</v>
      </c>
      <c r="D102" s="1" t="s">
        <v>48</v>
      </c>
      <c r="E102" s="1" t="s">
        <v>31</v>
      </c>
      <c r="F102" s="1" t="s">
        <v>50</v>
      </c>
      <c r="G102" s="1" t="s">
        <v>241</v>
      </c>
      <c r="H102" s="9" t="s">
        <v>603</v>
      </c>
      <c r="I102" s="1" t="s">
        <v>35</v>
      </c>
      <c r="J102" s="1" t="s">
        <v>27</v>
      </c>
      <c r="K102" s="1" t="s">
        <v>118</v>
      </c>
      <c r="L102" s="1" t="s">
        <v>75</v>
      </c>
      <c r="M102" s="1"/>
      <c r="O102" s="1"/>
      <c r="P102" s="1"/>
      <c r="Q102" s="1"/>
      <c r="R102" s="1"/>
      <c r="S102" s="3">
        <v>167</v>
      </c>
      <c r="T102" s="2" t="s">
        <v>604</v>
      </c>
      <c r="U102" s="2" t="s">
        <v>605</v>
      </c>
      <c r="V102" s="4" t="s">
        <v>606</v>
      </c>
    </row>
    <row r="103" spans="1:23" ht="15" customHeight="1" x14ac:dyDescent="0.25">
      <c r="A103" s="1" t="s">
        <v>607</v>
      </c>
      <c r="B103" s="1" t="s">
        <v>861</v>
      </c>
      <c r="C103" s="1" t="s">
        <v>608</v>
      </c>
      <c r="D103" s="1" t="s">
        <v>30</v>
      </c>
      <c r="E103" s="1" t="s">
        <v>31</v>
      </c>
      <c r="F103" s="1" t="s">
        <v>50</v>
      </c>
      <c r="G103" s="1" t="s">
        <v>33</v>
      </c>
      <c r="H103" s="9" t="s">
        <v>609</v>
      </c>
      <c r="I103" s="1" t="s">
        <v>35</v>
      </c>
      <c r="J103" s="1" t="s">
        <v>27</v>
      </c>
      <c r="K103" s="1" t="s">
        <v>277</v>
      </c>
      <c r="L103" s="1" t="s">
        <v>37</v>
      </c>
      <c r="M103" s="1" t="s">
        <v>151</v>
      </c>
      <c r="N103">
        <v>50</v>
      </c>
      <c r="O103" s="1" t="s">
        <v>110</v>
      </c>
      <c r="P103" s="1"/>
      <c r="Q103" s="1" t="s">
        <v>120</v>
      </c>
      <c r="R103" s="1" t="s">
        <v>100</v>
      </c>
      <c r="S103" s="3">
        <v>83</v>
      </c>
      <c r="T103" s="2" t="s">
        <v>610</v>
      </c>
      <c r="U103" s="2" t="s">
        <v>611</v>
      </c>
      <c r="V103" s="4" t="s">
        <v>612</v>
      </c>
    </row>
    <row r="104" spans="1:23" ht="15" customHeight="1" x14ac:dyDescent="0.25">
      <c r="A104" s="1" t="s">
        <v>613</v>
      </c>
      <c r="B104" s="1"/>
      <c r="C104" s="1" t="s">
        <v>614</v>
      </c>
      <c r="D104" s="1" t="s">
        <v>30</v>
      </c>
      <c r="E104" s="1" t="s">
        <v>49</v>
      </c>
      <c r="F104" s="1" t="s">
        <v>50</v>
      </c>
      <c r="G104" s="1" t="s">
        <v>33</v>
      </c>
      <c r="H104" s="9" t="s">
        <v>615</v>
      </c>
      <c r="I104" s="1" t="s">
        <v>82</v>
      </c>
      <c r="J104" s="1" t="s">
        <v>27</v>
      </c>
      <c r="K104" s="1" t="s">
        <v>164</v>
      </c>
      <c r="L104" s="1" t="s">
        <v>37</v>
      </c>
      <c r="M104" s="1"/>
      <c r="N104">
        <v>75</v>
      </c>
      <c r="O104" s="1" t="s">
        <v>30</v>
      </c>
      <c r="P104" s="1"/>
      <c r="Q104" s="1"/>
      <c r="R104" s="1"/>
      <c r="S104" s="3">
        <v>104</v>
      </c>
      <c r="T104" s="2" t="s">
        <v>616</v>
      </c>
      <c r="U104" s="2" t="s">
        <v>617</v>
      </c>
      <c r="V104" s="4" t="s">
        <v>618</v>
      </c>
    </row>
    <row r="105" spans="1:23" ht="15" customHeight="1" x14ac:dyDescent="0.25">
      <c r="A105" s="1" t="s">
        <v>619</v>
      </c>
      <c r="B105" s="1"/>
      <c r="C105" s="1" t="s">
        <v>620</v>
      </c>
      <c r="D105" s="1" t="s">
        <v>30</v>
      </c>
      <c r="E105" s="1" t="s">
        <v>31</v>
      </c>
      <c r="F105" s="1" t="s">
        <v>50</v>
      </c>
      <c r="G105" s="1" t="s">
        <v>33</v>
      </c>
      <c r="H105" s="9" t="s">
        <v>621</v>
      </c>
      <c r="I105" s="1" t="s">
        <v>35</v>
      </c>
      <c r="J105" s="1" t="s">
        <v>27</v>
      </c>
      <c r="K105" s="1" t="s">
        <v>36</v>
      </c>
      <c r="L105" s="1" t="s">
        <v>37</v>
      </c>
      <c r="M105" s="1" t="s">
        <v>620</v>
      </c>
      <c r="N105">
        <v>44.4</v>
      </c>
      <c r="O105" s="1" t="s">
        <v>30</v>
      </c>
      <c r="P105" s="1" t="s">
        <v>366</v>
      </c>
      <c r="Q105" s="1" t="s">
        <v>120</v>
      </c>
      <c r="R105" s="1" t="s">
        <v>622</v>
      </c>
      <c r="S105" s="3">
        <v>86</v>
      </c>
      <c r="T105" s="2" t="s">
        <v>623</v>
      </c>
      <c r="U105" s="2" t="s">
        <v>624</v>
      </c>
      <c r="V105" s="4" t="s">
        <v>625</v>
      </c>
    </row>
    <row r="106" spans="1:23" ht="15" customHeight="1" x14ac:dyDescent="0.25">
      <c r="A106" s="1" t="s">
        <v>626</v>
      </c>
      <c r="B106" s="1"/>
      <c r="C106" s="1" t="s">
        <v>627</v>
      </c>
      <c r="D106" s="1" t="s">
        <v>30</v>
      </c>
      <c r="E106" s="1" t="s">
        <v>91</v>
      </c>
      <c r="F106" s="1" t="s">
        <v>50</v>
      </c>
      <c r="G106" s="1" t="s">
        <v>33</v>
      </c>
      <c r="H106" s="9" t="s">
        <v>628</v>
      </c>
      <c r="I106" s="1" t="s">
        <v>35</v>
      </c>
      <c r="J106" s="1" t="s">
        <v>27</v>
      </c>
      <c r="K106" s="1" t="s">
        <v>132</v>
      </c>
      <c r="L106" s="1" t="s">
        <v>37</v>
      </c>
      <c r="M106" s="1" t="s">
        <v>629</v>
      </c>
      <c r="N106">
        <v>50</v>
      </c>
      <c r="O106" s="1" t="s">
        <v>30</v>
      </c>
      <c r="P106" s="1" t="s">
        <v>84</v>
      </c>
      <c r="Q106" s="1"/>
      <c r="R106" s="1"/>
      <c r="S106" s="3">
        <v>87</v>
      </c>
      <c r="T106" s="2" t="s">
        <v>630</v>
      </c>
      <c r="U106" s="2" t="s">
        <v>631</v>
      </c>
      <c r="V106" s="4" t="s">
        <v>632</v>
      </c>
    </row>
    <row r="107" spans="1:23" ht="15" customHeight="1" x14ac:dyDescent="0.25">
      <c r="A107" s="1" t="s">
        <v>626</v>
      </c>
      <c r="B107" s="1"/>
      <c r="C107" s="1" t="s">
        <v>633</v>
      </c>
      <c r="D107" s="1" t="s">
        <v>30</v>
      </c>
      <c r="E107" s="1" t="s">
        <v>91</v>
      </c>
      <c r="F107" s="1" t="s">
        <v>25</v>
      </c>
      <c r="G107" s="1" t="s">
        <v>33</v>
      </c>
      <c r="H107" s="9" t="s">
        <v>634</v>
      </c>
      <c r="I107" s="1" t="s">
        <v>26</v>
      </c>
      <c r="J107" s="1" t="s">
        <v>27</v>
      </c>
      <c r="K107" s="1" t="s">
        <v>473</v>
      </c>
      <c r="L107" s="1"/>
      <c r="M107" s="1"/>
      <c r="N107">
        <v>68.5</v>
      </c>
      <c r="O107" s="1"/>
      <c r="P107" s="1"/>
      <c r="Q107" s="1"/>
      <c r="R107" s="1"/>
      <c r="S107" s="3">
        <v>465</v>
      </c>
      <c r="T107" s="2"/>
      <c r="U107" s="2" t="s">
        <v>631</v>
      </c>
    </row>
    <row r="108" spans="1:23" ht="15" customHeight="1" x14ac:dyDescent="0.25">
      <c r="A108" s="1" t="s">
        <v>635</v>
      </c>
      <c r="B108" s="1"/>
      <c r="C108" s="1" t="s">
        <v>636</v>
      </c>
      <c r="D108" s="1" t="s">
        <v>48</v>
      </c>
      <c r="E108" s="1" t="s">
        <v>31</v>
      </c>
      <c r="F108" s="1" t="s">
        <v>50</v>
      </c>
      <c r="G108" s="1" t="s">
        <v>637</v>
      </c>
      <c r="H108" s="9" t="s">
        <v>638</v>
      </c>
      <c r="I108" s="1" t="s">
        <v>35</v>
      </c>
      <c r="J108" s="1" t="s">
        <v>27</v>
      </c>
      <c r="K108" s="1" t="s">
        <v>118</v>
      </c>
      <c r="L108" s="1" t="s">
        <v>75</v>
      </c>
      <c r="M108" s="1"/>
      <c r="O108" s="1"/>
      <c r="P108" s="1"/>
      <c r="Q108" s="1"/>
      <c r="R108" s="1"/>
      <c r="S108" s="3">
        <v>168</v>
      </c>
      <c r="T108" s="2"/>
      <c r="U108" s="2" t="s">
        <v>639</v>
      </c>
      <c r="V108" s="4" t="s">
        <v>640</v>
      </c>
    </row>
    <row r="109" spans="1:23" ht="15" customHeight="1" x14ac:dyDescent="0.25">
      <c r="A109" s="1" t="s">
        <v>89</v>
      </c>
      <c r="B109" s="1"/>
      <c r="C109" s="1" t="s">
        <v>641</v>
      </c>
      <c r="D109" s="1" t="s">
        <v>48</v>
      </c>
      <c r="E109" s="1" t="s">
        <v>65</v>
      </c>
      <c r="F109" s="1"/>
      <c r="G109" s="1"/>
      <c r="H109" s="9" t="s">
        <v>642</v>
      </c>
      <c r="I109" s="1" t="s">
        <v>35</v>
      </c>
      <c r="J109" s="1" t="s">
        <v>27</v>
      </c>
      <c r="K109" s="1" t="s">
        <v>270</v>
      </c>
      <c r="L109" s="1"/>
      <c r="M109" s="1"/>
      <c r="O109" s="1"/>
      <c r="P109" s="1"/>
      <c r="Q109" s="1"/>
      <c r="R109" s="1"/>
      <c r="S109" s="3">
        <v>435</v>
      </c>
      <c r="T109" s="2" t="s">
        <v>643</v>
      </c>
      <c r="U109" s="2" t="s">
        <v>644</v>
      </c>
      <c r="V109" s="4" t="s">
        <v>645</v>
      </c>
    </row>
    <row r="110" spans="1:23" ht="15" customHeight="1" x14ac:dyDescent="0.25">
      <c r="A110" s="1" t="s">
        <v>646</v>
      </c>
      <c r="B110" s="1"/>
      <c r="C110" s="1" t="s">
        <v>647</v>
      </c>
      <c r="D110" s="1" t="s">
        <v>30</v>
      </c>
      <c r="E110" s="1" t="s">
        <v>49</v>
      </c>
      <c r="F110" s="1" t="s">
        <v>25</v>
      </c>
      <c r="G110" s="1" t="s">
        <v>33</v>
      </c>
      <c r="H110" s="9" t="s">
        <v>648</v>
      </c>
      <c r="I110" s="1" t="s">
        <v>26</v>
      </c>
      <c r="J110" s="1" t="s">
        <v>27</v>
      </c>
      <c r="K110" s="1" t="s">
        <v>649</v>
      </c>
      <c r="L110" s="1"/>
      <c r="M110" s="1"/>
      <c r="N110">
        <v>100</v>
      </c>
      <c r="O110" s="1"/>
      <c r="P110" s="1"/>
      <c r="Q110" s="1"/>
      <c r="R110" s="1"/>
      <c r="S110" s="3">
        <v>458</v>
      </c>
      <c r="T110" s="2" t="s">
        <v>650</v>
      </c>
      <c r="U110" s="2" t="s">
        <v>651</v>
      </c>
      <c r="V110" s="4" t="s">
        <v>652</v>
      </c>
    </row>
    <row r="111" spans="1:23" ht="15" customHeight="1" x14ac:dyDescent="0.25">
      <c r="A111" s="1" t="s">
        <v>46</v>
      </c>
      <c r="B111" s="1"/>
      <c r="C111" s="1" t="s">
        <v>653</v>
      </c>
      <c r="D111" s="1" t="s">
        <v>107</v>
      </c>
      <c r="E111" s="1" t="s">
        <v>49</v>
      </c>
      <c r="F111" s="1" t="s">
        <v>50</v>
      </c>
      <c r="G111" s="1" t="s">
        <v>33</v>
      </c>
      <c r="H111" s="9" t="s">
        <v>654</v>
      </c>
      <c r="I111" s="1" t="s">
        <v>35</v>
      </c>
      <c r="J111" s="1" t="s">
        <v>27</v>
      </c>
      <c r="K111" s="1" t="s">
        <v>36</v>
      </c>
      <c r="L111" s="1" t="s">
        <v>37</v>
      </c>
      <c r="M111" s="1" t="s">
        <v>52</v>
      </c>
      <c r="N111">
        <v>0</v>
      </c>
      <c r="O111" s="1" t="s">
        <v>53</v>
      </c>
      <c r="P111" s="1" t="s">
        <v>54</v>
      </c>
      <c r="Q111" s="1"/>
      <c r="R111" s="1"/>
      <c r="S111" s="3">
        <v>448</v>
      </c>
      <c r="T111" s="2" t="s">
        <v>55</v>
      </c>
      <c r="U111" s="2" t="s">
        <v>56</v>
      </c>
      <c r="V111" s="4" t="s">
        <v>655</v>
      </c>
    </row>
    <row r="112" spans="1:23" ht="15" customHeight="1" x14ac:dyDescent="0.25">
      <c r="A112" s="1" t="s">
        <v>656</v>
      </c>
      <c r="B112" s="1"/>
      <c r="C112" s="1" t="s">
        <v>656</v>
      </c>
      <c r="D112" s="1"/>
      <c r="E112" s="1" t="s">
        <v>31</v>
      </c>
      <c r="F112" s="1" t="s">
        <v>25</v>
      </c>
      <c r="G112" s="1"/>
      <c r="H112" s="9" t="s">
        <v>355</v>
      </c>
      <c r="I112" s="1" t="s">
        <v>26</v>
      </c>
      <c r="J112" s="5" t="s">
        <v>27</v>
      </c>
      <c r="K112" s="1"/>
      <c r="L112" s="1"/>
      <c r="M112" s="1"/>
      <c r="O112" s="1"/>
      <c r="P112" s="1"/>
      <c r="Q112" s="1"/>
      <c r="R112" s="1"/>
      <c r="S112" s="3">
        <v>421</v>
      </c>
      <c r="T112" s="2"/>
      <c r="U112" s="2" t="s">
        <v>657</v>
      </c>
      <c r="V112" s="4" t="s">
        <v>658</v>
      </c>
    </row>
    <row r="113" spans="1:23" ht="15" customHeight="1" x14ac:dyDescent="0.25">
      <c r="A113" s="1" t="s">
        <v>659</v>
      </c>
      <c r="B113" s="1" t="s">
        <v>862</v>
      </c>
      <c r="C113" s="1" t="s">
        <v>660</v>
      </c>
      <c r="D113" s="1" t="s">
        <v>30</v>
      </c>
      <c r="E113" s="1" t="s">
        <v>31</v>
      </c>
      <c r="F113" s="1" t="s">
        <v>50</v>
      </c>
      <c r="G113" s="1"/>
      <c r="H113" s="9" t="s">
        <v>661</v>
      </c>
      <c r="I113" s="1" t="s">
        <v>35</v>
      </c>
      <c r="J113" s="1" t="s">
        <v>27</v>
      </c>
      <c r="K113" s="1" t="s">
        <v>662</v>
      </c>
      <c r="L113" s="1" t="s">
        <v>37</v>
      </c>
      <c r="M113" s="1" t="s">
        <v>663</v>
      </c>
      <c r="N113">
        <v>50</v>
      </c>
      <c r="O113" s="1" t="s">
        <v>30</v>
      </c>
      <c r="P113" s="1" t="s">
        <v>119</v>
      </c>
      <c r="Q113" s="1" t="s">
        <v>264</v>
      </c>
      <c r="R113" s="1"/>
      <c r="S113" s="3">
        <v>84</v>
      </c>
      <c r="T113" s="2"/>
      <c r="U113" s="2" t="s">
        <v>664</v>
      </c>
      <c r="V113" s="4" t="s">
        <v>665</v>
      </c>
    </row>
    <row r="114" spans="1:23" ht="15" customHeight="1" x14ac:dyDescent="0.25">
      <c r="A114" s="1" t="s">
        <v>46</v>
      </c>
      <c r="B114" s="1"/>
      <c r="C114" s="1" t="s">
        <v>666</v>
      </c>
      <c r="D114" s="1" t="s">
        <v>48</v>
      </c>
      <c r="E114" s="1" t="s">
        <v>49</v>
      </c>
      <c r="F114" s="1" t="s">
        <v>50</v>
      </c>
      <c r="G114" s="1"/>
      <c r="H114" s="9" t="s">
        <v>667</v>
      </c>
      <c r="I114" s="1" t="s">
        <v>35</v>
      </c>
      <c r="J114" s="1" t="s">
        <v>27</v>
      </c>
      <c r="K114" s="1" t="s">
        <v>36</v>
      </c>
      <c r="L114" s="1" t="s">
        <v>37</v>
      </c>
      <c r="M114" s="1" t="s">
        <v>52</v>
      </c>
      <c r="N114">
        <v>0</v>
      </c>
      <c r="O114" s="5" t="s">
        <v>30</v>
      </c>
      <c r="P114" s="1"/>
      <c r="Q114" s="1" t="s">
        <v>152</v>
      </c>
      <c r="R114" s="1" t="s">
        <v>100</v>
      </c>
      <c r="S114" s="3">
        <v>356</v>
      </c>
      <c r="T114" s="2" t="s">
        <v>55</v>
      </c>
      <c r="U114" s="2" t="s">
        <v>56</v>
      </c>
      <c r="V114" s="4" t="s">
        <v>668</v>
      </c>
    </row>
    <row r="115" spans="1:23" ht="15" customHeight="1" x14ac:dyDescent="0.25">
      <c r="A115" s="1" t="s">
        <v>669</v>
      </c>
      <c r="B115" s="1"/>
      <c r="C115" s="1" t="s">
        <v>669</v>
      </c>
      <c r="D115" s="1" t="s">
        <v>30</v>
      </c>
      <c r="E115" s="1" t="s">
        <v>31</v>
      </c>
      <c r="F115" s="1" t="s">
        <v>50</v>
      </c>
      <c r="G115" s="1" t="s">
        <v>33</v>
      </c>
      <c r="H115" s="9" t="s">
        <v>670</v>
      </c>
      <c r="I115" s="1" t="s">
        <v>35</v>
      </c>
      <c r="J115" s="1" t="s">
        <v>27</v>
      </c>
      <c r="K115" s="1" t="s">
        <v>132</v>
      </c>
      <c r="L115" s="1"/>
      <c r="M115" s="1"/>
      <c r="O115" s="1"/>
      <c r="P115" s="1"/>
      <c r="Q115" s="1"/>
      <c r="R115" s="1"/>
      <c r="S115" s="3">
        <v>370</v>
      </c>
      <c r="T115" s="2" t="s">
        <v>671</v>
      </c>
      <c r="U115" s="2" t="s">
        <v>672</v>
      </c>
      <c r="V115" s="4" t="s">
        <v>673</v>
      </c>
      <c r="W115" s="4" t="s">
        <v>674</v>
      </c>
    </row>
    <row r="116" spans="1:23" ht="15" customHeight="1" x14ac:dyDescent="0.25">
      <c r="A116" s="1" t="s">
        <v>675</v>
      </c>
      <c r="B116" s="1" t="s">
        <v>863</v>
      </c>
      <c r="C116" s="1" t="s">
        <v>676</v>
      </c>
      <c r="D116" s="1" t="s">
        <v>30</v>
      </c>
      <c r="E116" s="1" t="s">
        <v>31</v>
      </c>
      <c r="F116" s="1" t="s">
        <v>50</v>
      </c>
      <c r="G116" s="1" t="s">
        <v>33</v>
      </c>
      <c r="H116" s="9" t="s">
        <v>677</v>
      </c>
      <c r="I116" s="1" t="s">
        <v>35</v>
      </c>
      <c r="J116" s="1" t="s">
        <v>27</v>
      </c>
      <c r="K116" s="1" t="s">
        <v>365</v>
      </c>
      <c r="L116" s="1" t="s">
        <v>37</v>
      </c>
      <c r="M116" s="1"/>
      <c r="N116">
        <v>75</v>
      </c>
      <c r="O116" s="1" t="s">
        <v>30</v>
      </c>
      <c r="P116" s="1" t="s">
        <v>678</v>
      </c>
      <c r="Q116" s="1"/>
      <c r="R116" s="1"/>
      <c r="S116" s="3">
        <v>101</v>
      </c>
      <c r="T116" s="2" t="s">
        <v>679</v>
      </c>
      <c r="U116" s="2" t="s">
        <v>680</v>
      </c>
      <c r="V116" s="4" t="s">
        <v>681</v>
      </c>
    </row>
    <row r="117" spans="1:23" ht="15" customHeight="1" x14ac:dyDescent="0.25">
      <c r="A117" s="1" t="s">
        <v>682</v>
      </c>
      <c r="B117" s="1"/>
      <c r="C117" s="1" t="s">
        <v>683</v>
      </c>
      <c r="D117" s="1" t="s">
        <v>30</v>
      </c>
      <c r="E117" s="1" t="s">
        <v>31</v>
      </c>
      <c r="F117" s="1" t="s">
        <v>50</v>
      </c>
      <c r="G117" s="1" t="s">
        <v>33</v>
      </c>
      <c r="H117" s="9" t="s">
        <v>684</v>
      </c>
      <c r="I117" s="1" t="s">
        <v>82</v>
      </c>
      <c r="J117" s="1" t="s">
        <v>27</v>
      </c>
      <c r="K117" s="1" t="s">
        <v>83</v>
      </c>
      <c r="L117" s="1"/>
      <c r="M117" s="1"/>
      <c r="O117" s="1"/>
      <c r="P117" s="1"/>
      <c r="Q117" s="1"/>
      <c r="R117" s="1"/>
      <c r="S117" s="3">
        <v>344</v>
      </c>
      <c r="T117" s="2" t="s">
        <v>685</v>
      </c>
      <c r="U117" s="2" t="s">
        <v>686</v>
      </c>
      <c r="V117" s="4" t="s">
        <v>687</v>
      </c>
    </row>
    <row r="118" spans="1:23" ht="15" customHeight="1" x14ac:dyDescent="0.25">
      <c r="A118" s="1" t="s">
        <v>688</v>
      </c>
      <c r="B118" s="1" t="s">
        <v>864</v>
      </c>
      <c r="C118" s="1" t="s">
        <v>688</v>
      </c>
      <c r="D118" s="1"/>
      <c r="E118" s="1" t="s">
        <v>49</v>
      </c>
      <c r="F118" s="1" t="s">
        <v>25</v>
      </c>
      <c r="G118" s="1"/>
      <c r="H118" s="9" t="s">
        <v>554</v>
      </c>
      <c r="I118" s="1" t="s">
        <v>26</v>
      </c>
      <c r="J118" s="5" t="s">
        <v>27</v>
      </c>
      <c r="K118" s="1" t="s">
        <v>689</v>
      </c>
      <c r="L118" s="1"/>
      <c r="M118" s="1"/>
      <c r="O118" s="1"/>
      <c r="P118" s="1"/>
      <c r="Q118" s="1"/>
      <c r="R118" s="1"/>
      <c r="S118" s="3">
        <v>424</v>
      </c>
      <c r="T118" s="2"/>
      <c r="U118" s="2" t="s">
        <v>690</v>
      </c>
      <c r="V118" s="4" t="s">
        <v>691</v>
      </c>
    </row>
    <row r="119" spans="1:23" ht="15" customHeight="1" x14ac:dyDescent="0.25">
      <c r="A119" s="1" t="s">
        <v>692</v>
      </c>
      <c r="B119" s="1"/>
      <c r="C119" s="1" t="s">
        <v>693</v>
      </c>
      <c r="D119" s="1" t="s">
        <v>30</v>
      </c>
      <c r="E119" s="1" t="s">
        <v>65</v>
      </c>
      <c r="F119" s="1"/>
      <c r="G119" s="1" t="s">
        <v>33</v>
      </c>
      <c r="H119" s="9" t="s">
        <v>694</v>
      </c>
      <c r="I119" s="1" t="s">
        <v>35</v>
      </c>
      <c r="J119" s="1" t="s">
        <v>27</v>
      </c>
      <c r="K119" s="1" t="s">
        <v>277</v>
      </c>
      <c r="L119" s="1" t="s">
        <v>75</v>
      </c>
      <c r="M119" s="1"/>
      <c r="N119">
        <v>0</v>
      </c>
      <c r="O119" s="1" t="s">
        <v>30</v>
      </c>
      <c r="P119" s="1" t="s">
        <v>84</v>
      </c>
      <c r="Q119" s="1" t="s">
        <v>120</v>
      </c>
      <c r="R119" s="1"/>
      <c r="S119" s="3">
        <v>107</v>
      </c>
      <c r="T119" s="2"/>
      <c r="U119" s="2" t="s">
        <v>695</v>
      </c>
      <c r="V119" s="4" t="s">
        <v>696</v>
      </c>
    </row>
    <row r="120" spans="1:23" ht="15" customHeight="1" x14ac:dyDescent="0.25">
      <c r="A120" s="1" t="s">
        <v>697</v>
      </c>
      <c r="B120" s="1" t="s">
        <v>865</v>
      </c>
      <c r="C120" s="1" t="s">
        <v>698</v>
      </c>
      <c r="D120" s="1" t="s">
        <v>48</v>
      </c>
      <c r="E120" s="1" t="s">
        <v>31</v>
      </c>
      <c r="F120" s="1" t="s">
        <v>25</v>
      </c>
      <c r="G120" s="1"/>
      <c r="H120" s="9" t="s">
        <v>699</v>
      </c>
      <c r="I120" s="1" t="s">
        <v>60</v>
      </c>
      <c r="J120" s="1" t="s">
        <v>27</v>
      </c>
      <c r="K120" s="1" t="s">
        <v>700</v>
      </c>
      <c r="L120" s="1"/>
      <c r="M120" s="1"/>
      <c r="O120" s="1"/>
      <c r="P120" s="1"/>
      <c r="Q120" s="1"/>
      <c r="R120" s="1"/>
      <c r="S120" s="3">
        <v>392</v>
      </c>
      <c r="T120" s="2"/>
      <c r="U120" s="2" t="s">
        <v>701</v>
      </c>
      <c r="V120" s="4" t="s">
        <v>702</v>
      </c>
    </row>
    <row r="121" spans="1:23" ht="15" customHeight="1" x14ac:dyDescent="0.25">
      <c r="A121" s="1" t="s">
        <v>703</v>
      </c>
      <c r="B121" s="1"/>
      <c r="C121" s="1" t="s">
        <v>704</v>
      </c>
      <c r="D121" s="1" t="s">
        <v>107</v>
      </c>
      <c r="E121" s="1" t="s">
        <v>31</v>
      </c>
      <c r="F121" s="1" t="s">
        <v>25</v>
      </c>
      <c r="G121" s="1"/>
      <c r="H121" s="9" t="s">
        <v>333</v>
      </c>
      <c r="I121" s="1" t="s">
        <v>26</v>
      </c>
      <c r="J121" s="1" t="s">
        <v>27</v>
      </c>
      <c r="K121" s="1"/>
      <c r="L121" s="1"/>
      <c r="M121" s="1"/>
      <c r="O121" s="1"/>
      <c r="P121" s="1"/>
      <c r="Q121" s="1"/>
      <c r="R121" s="1"/>
      <c r="S121" s="3">
        <v>387</v>
      </c>
      <c r="T121" s="2"/>
      <c r="U121" s="2" t="s">
        <v>705</v>
      </c>
      <c r="V121" s="4" t="s">
        <v>706</v>
      </c>
    </row>
    <row r="122" spans="1:23" ht="15" customHeight="1" x14ac:dyDescent="0.25">
      <c r="A122" s="1" t="s">
        <v>703</v>
      </c>
      <c r="B122" s="1"/>
      <c r="C122" s="1" t="s">
        <v>707</v>
      </c>
      <c r="D122" s="1" t="s">
        <v>48</v>
      </c>
      <c r="E122" s="1" t="s">
        <v>31</v>
      </c>
      <c r="F122" s="1" t="s">
        <v>50</v>
      </c>
      <c r="G122" s="1"/>
      <c r="H122" s="9" t="s">
        <v>708</v>
      </c>
      <c r="I122" s="1" t="s">
        <v>35</v>
      </c>
      <c r="J122" s="1" t="s">
        <v>27</v>
      </c>
      <c r="K122" s="1" t="s">
        <v>709</v>
      </c>
      <c r="L122" s="1" t="s">
        <v>75</v>
      </c>
      <c r="M122" s="1" t="s">
        <v>663</v>
      </c>
      <c r="N122">
        <v>0</v>
      </c>
      <c r="O122" s="1" t="s">
        <v>710</v>
      </c>
      <c r="P122" s="1"/>
      <c r="Q122" s="1"/>
      <c r="R122" s="1"/>
      <c r="S122" s="3">
        <v>94</v>
      </c>
      <c r="T122" s="2" t="s">
        <v>711</v>
      </c>
      <c r="U122" s="2" t="s">
        <v>712</v>
      </c>
      <c r="V122" s="4" t="s">
        <v>713</v>
      </c>
    </row>
    <row r="123" spans="1:23" ht="15" customHeight="1" x14ac:dyDescent="0.25">
      <c r="A123" s="1" t="s">
        <v>40</v>
      </c>
      <c r="B123" s="1"/>
      <c r="C123" s="1" t="s">
        <v>714</v>
      </c>
      <c r="D123" s="1" t="s">
        <v>30</v>
      </c>
      <c r="E123" s="1" t="s">
        <v>43</v>
      </c>
      <c r="F123" s="1" t="s">
        <v>50</v>
      </c>
      <c r="G123" s="1"/>
      <c r="H123" s="9" t="s">
        <v>715</v>
      </c>
      <c r="I123" s="1" t="s">
        <v>35</v>
      </c>
      <c r="J123" s="1" t="s">
        <v>27</v>
      </c>
      <c r="K123" s="1" t="s">
        <v>36</v>
      </c>
      <c r="L123" s="1" t="s">
        <v>75</v>
      </c>
      <c r="M123" s="1"/>
      <c r="N123">
        <v>50</v>
      </c>
      <c r="O123" s="1" t="s">
        <v>110</v>
      </c>
      <c r="P123" s="1" t="s">
        <v>119</v>
      </c>
      <c r="Q123" s="1" t="s">
        <v>120</v>
      </c>
      <c r="R123" s="1"/>
      <c r="S123" s="3">
        <v>361</v>
      </c>
      <c r="T123" s="2"/>
      <c r="U123" s="2"/>
    </row>
    <row r="124" spans="1:23" ht="15" customHeight="1" x14ac:dyDescent="0.25">
      <c r="A124" s="1" t="s">
        <v>40</v>
      </c>
      <c r="B124" s="1"/>
      <c r="C124" s="1" t="s">
        <v>716</v>
      </c>
      <c r="D124" s="1" t="s">
        <v>30</v>
      </c>
      <c r="E124" s="1" t="s">
        <v>43</v>
      </c>
      <c r="F124" s="1" t="s">
        <v>50</v>
      </c>
      <c r="G124" s="1"/>
      <c r="H124" s="9" t="s">
        <v>717</v>
      </c>
      <c r="I124" s="1" t="s">
        <v>35</v>
      </c>
      <c r="J124" s="1" t="s">
        <v>27</v>
      </c>
      <c r="K124" s="1" t="s">
        <v>36</v>
      </c>
      <c r="L124" s="1"/>
      <c r="M124" s="1"/>
      <c r="O124" s="1"/>
      <c r="P124" s="1"/>
      <c r="Q124" s="1"/>
      <c r="R124" s="1"/>
      <c r="S124" s="3">
        <v>445</v>
      </c>
      <c r="T124" s="2"/>
      <c r="U124" s="2"/>
    </row>
    <row r="125" spans="1:23" ht="15" customHeight="1" x14ac:dyDescent="0.25">
      <c r="A125" s="1" t="s">
        <v>40</v>
      </c>
      <c r="B125" s="1"/>
      <c r="C125" s="1" t="s">
        <v>718</v>
      </c>
      <c r="D125" s="1" t="s">
        <v>30</v>
      </c>
      <c r="E125" s="1" t="s">
        <v>43</v>
      </c>
      <c r="F125" s="1" t="s">
        <v>25</v>
      </c>
      <c r="G125" s="1"/>
      <c r="H125" s="9" t="s">
        <v>719</v>
      </c>
      <c r="I125" s="1" t="s">
        <v>202</v>
      </c>
      <c r="J125" s="1" t="s">
        <v>27</v>
      </c>
      <c r="K125" s="1"/>
      <c r="L125" s="1"/>
      <c r="M125" s="1"/>
      <c r="O125" s="1"/>
      <c r="P125" s="1" t="s">
        <v>119</v>
      </c>
      <c r="Q125" s="1" t="s">
        <v>120</v>
      </c>
      <c r="R125" s="1"/>
      <c r="S125" s="3">
        <v>373</v>
      </c>
      <c r="T125" s="2"/>
      <c r="U125" s="2"/>
    </row>
    <row r="126" spans="1:23" ht="15" customHeight="1" x14ac:dyDescent="0.25">
      <c r="A126" s="1" t="s">
        <v>310</v>
      </c>
      <c r="B126" s="1"/>
      <c r="C126" s="1" t="s">
        <v>720</v>
      </c>
      <c r="D126" s="1"/>
      <c r="E126" s="1" t="s">
        <v>31</v>
      </c>
      <c r="F126" s="1" t="s">
        <v>25</v>
      </c>
      <c r="G126" s="1"/>
      <c r="H126" s="9" t="s">
        <v>489</v>
      </c>
      <c r="I126" s="1" t="s">
        <v>26</v>
      </c>
      <c r="J126" s="1" t="s">
        <v>27</v>
      </c>
      <c r="K126" s="1"/>
      <c r="L126" s="1"/>
      <c r="M126" s="1"/>
      <c r="O126" s="1"/>
      <c r="P126" s="1"/>
      <c r="Q126" s="1"/>
      <c r="R126" s="1"/>
      <c r="S126" s="3">
        <v>425</v>
      </c>
      <c r="T126" s="2"/>
      <c r="U126" s="2" t="s">
        <v>721</v>
      </c>
      <c r="V126" s="4" t="s">
        <v>722</v>
      </c>
    </row>
    <row r="127" spans="1:23" ht="15" customHeight="1" x14ac:dyDescent="0.25">
      <c r="A127" s="1" t="s">
        <v>723</v>
      </c>
      <c r="B127" s="1"/>
      <c r="C127" s="1" t="s">
        <v>724</v>
      </c>
      <c r="D127" s="1"/>
      <c r="E127" s="1" t="s">
        <v>31</v>
      </c>
      <c r="F127" s="1" t="s">
        <v>25</v>
      </c>
      <c r="G127" s="1"/>
      <c r="H127" s="9" t="s">
        <v>725</v>
      </c>
      <c r="I127" s="1" t="s">
        <v>26</v>
      </c>
      <c r="J127" s="5" t="s">
        <v>27</v>
      </c>
      <c r="K127" s="1"/>
      <c r="L127" s="1"/>
      <c r="M127" s="1"/>
      <c r="O127" s="1"/>
      <c r="P127" s="1"/>
      <c r="Q127" s="1"/>
      <c r="R127" s="1"/>
      <c r="S127" s="3">
        <v>419</v>
      </c>
      <c r="T127" s="2"/>
      <c r="U127" s="2" t="s">
        <v>726</v>
      </c>
      <c r="V127" s="4" t="s">
        <v>727</v>
      </c>
    </row>
    <row r="128" spans="1:23" ht="15" customHeight="1" x14ac:dyDescent="0.25">
      <c r="A128" s="1" t="s">
        <v>728</v>
      </c>
      <c r="B128" s="1" t="s">
        <v>866</v>
      </c>
      <c r="C128" s="1" t="s">
        <v>729</v>
      </c>
      <c r="D128" s="1" t="s">
        <v>48</v>
      </c>
      <c r="E128" s="1" t="s">
        <v>31</v>
      </c>
      <c r="F128" s="1" t="s">
        <v>25</v>
      </c>
      <c r="G128" s="1"/>
      <c r="I128" s="1" t="s">
        <v>26</v>
      </c>
      <c r="J128" s="5" t="s">
        <v>27</v>
      </c>
      <c r="K128" s="1"/>
      <c r="L128" s="1"/>
      <c r="M128" s="1"/>
      <c r="O128" s="1"/>
      <c r="P128" s="1"/>
      <c r="Q128" s="1"/>
      <c r="R128" s="1"/>
      <c r="S128" s="3">
        <v>436</v>
      </c>
      <c r="T128" s="2"/>
      <c r="U128" s="2" t="s">
        <v>730</v>
      </c>
      <c r="V128" s="4" t="s">
        <v>731</v>
      </c>
    </row>
    <row r="129" spans="1:23" ht="15" customHeight="1" x14ac:dyDescent="0.25">
      <c r="A129" s="1" t="s">
        <v>732</v>
      </c>
      <c r="B129" s="1"/>
      <c r="C129" s="1" t="s">
        <v>732</v>
      </c>
      <c r="D129" s="1" t="s">
        <v>107</v>
      </c>
      <c r="E129" s="1" t="s">
        <v>31</v>
      </c>
      <c r="F129" s="1" t="s">
        <v>50</v>
      </c>
      <c r="G129" s="1" t="s">
        <v>33</v>
      </c>
      <c r="H129" s="9" t="s">
        <v>489</v>
      </c>
      <c r="I129" s="1" t="s">
        <v>35</v>
      </c>
      <c r="J129" s="1" t="s">
        <v>27</v>
      </c>
      <c r="K129" s="1" t="s">
        <v>36</v>
      </c>
      <c r="L129" s="1" t="s">
        <v>75</v>
      </c>
      <c r="M129" s="1" t="s">
        <v>733</v>
      </c>
      <c r="N129">
        <v>0</v>
      </c>
      <c r="O129" s="1" t="s">
        <v>53</v>
      </c>
      <c r="P129" s="1"/>
      <c r="Q129" s="1" t="s">
        <v>152</v>
      </c>
      <c r="R129" s="1"/>
      <c r="S129" s="3">
        <v>92</v>
      </c>
      <c r="T129" s="2"/>
      <c r="U129" s="2" t="s">
        <v>734</v>
      </c>
      <c r="V129" s="4" t="s">
        <v>735</v>
      </c>
    </row>
    <row r="130" spans="1:23" ht="15" customHeight="1" x14ac:dyDescent="0.25">
      <c r="A130" s="1" t="s">
        <v>423</v>
      </c>
      <c r="B130" s="1" t="s">
        <v>867</v>
      </c>
      <c r="C130" s="1" t="s">
        <v>736</v>
      </c>
      <c r="D130" s="1" t="s">
        <v>48</v>
      </c>
      <c r="E130" s="1" t="s">
        <v>31</v>
      </c>
      <c r="F130" s="1" t="s">
        <v>50</v>
      </c>
      <c r="G130" s="1"/>
      <c r="H130" s="9" t="s">
        <v>737</v>
      </c>
      <c r="I130" s="1" t="s">
        <v>82</v>
      </c>
      <c r="J130" s="1" t="s">
        <v>27</v>
      </c>
      <c r="K130" s="1" t="s">
        <v>738</v>
      </c>
      <c r="L130" s="1" t="s">
        <v>75</v>
      </c>
      <c r="M130" s="1"/>
      <c r="O130" s="1"/>
      <c r="P130" s="1" t="s">
        <v>84</v>
      </c>
      <c r="Q130" s="1"/>
      <c r="R130" s="1"/>
      <c r="S130" s="3">
        <v>155</v>
      </c>
      <c r="T130" s="2" t="s">
        <v>739</v>
      </c>
      <c r="U130" s="2" t="s">
        <v>740</v>
      </c>
      <c r="V130" s="4" t="s">
        <v>741</v>
      </c>
    </row>
    <row r="131" spans="1:23" ht="15" customHeight="1" x14ac:dyDescent="0.25">
      <c r="A131" s="1" t="s">
        <v>571</v>
      </c>
      <c r="B131" s="1"/>
      <c r="C131" s="1" t="s">
        <v>742</v>
      </c>
      <c r="D131" s="1" t="s">
        <v>48</v>
      </c>
      <c r="E131" s="1" t="s">
        <v>65</v>
      </c>
      <c r="F131" s="1"/>
      <c r="G131" s="1"/>
      <c r="H131" s="9" t="s">
        <v>743</v>
      </c>
      <c r="I131" s="1" t="s">
        <v>82</v>
      </c>
      <c r="J131" s="1" t="s">
        <v>27</v>
      </c>
      <c r="K131" s="1" t="s">
        <v>548</v>
      </c>
      <c r="L131" s="1"/>
      <c r="M131" s="1"/>
      <c r="O131" s="1"/>
      <c r="P131" s="1"/>
      <c r="Q131" s="1"/>
      <c r="R131" s="1"/>
      <c r="S131" s="3">
        <v>213</v>
      </c>
      <c r="T131" s="2" t="s">
        <v>744</v>
      </c>
      <c r="U131" s="2" t="s">
        <v>745</v>
      </c>
      <c r="V131" s="4" t="s">
        <v>746</v>
      </c>
    </row>
    <row r="132" spans="1:23" ht="15" customHeight="1" x14ac:dyDescent="0.25">
      <c r="A132" s="1" t="s">
        <v>571</v>
      </c>
      <c r="B132" s="1"/>
      <c r="C132" s="1" t="s">
        <v>747</v>
      </c>
      <c r="D132" s="1" t="s">
        <v>48</v>
      </c>
      <c r="E132" s="1" t="s">
        <v>31</v>
      </c>
      <c r="F132" s="1" t="s">
        <v>50</v>
      </c>
      <c r="G132" s="1"/>
      <c r="H132" s="9" t="s">
        <v>124</v>
      </c>
      <c r="I132" s="1" t="s">
        <v>82</v>
      </c>
      <c r="J132" s="1" t="s">
        <v>27</v>
      </c>
      <c r="K132" s="1" t="s">
        <v>548</v>
      </c>
      <c r="L132" s="1"/>
      <c r="M132" s="1"/>
      <c r="O132" s="1"/>
      <c r="P132" s="1"/>
      <c r="Q132" s="1"/>
      <c r="R132" s="1"/>
      <c r="S132" s="3">
        <v>347</v>
      </c>
      <c r="T132" s="2" t="s">
        <v>748</v>
      </c>
      <c r="U132" s="2" t="s">
        <v>749</v>
      </c>
      <c r="V132" s="4" t="s">
        <v>750</v>
      </c>
    </row>
    <row r="133" spans="1:23" ht="15" customHeight="1" x14ac:dyDescent="0.25">
      <c r="A133" s="1" t="s">
        <v>675</v>
      </c>
      <c r="B133" s="1"/>
      <c r="C133" s="1" t="s">
        <v>751</v>
      </c>
      <c r="D133" s="1" t="s">
        <v>30</v>
      </c>
      <c r="E133" s="1" t="s">
        <v>142</v>
      </c>
      <c r="F133" s="1" t="s">
        <v>50</v>
      </c>
      <c r="G133" s="1" t="s">
        <v>33</v>
      </c>
      <c r="H133" s="9" t="s">
        <v>752</v>
      </c>
      <c r="I133" s="1" t="s">
        <v>35</v>
      </c>
      <c r="J133" s="1" t="s">
        <v>27</v>
      </c>
      <c r="K133" s="1" t="s">
        <v>144</v>
      </c>
      <c r="L133" s="1" t="s">
        <v>37</v>
      </c>
      <c r="M133" s="1"/>
      <c r="N133">
        <v>75</v>
      </c>
      <c r="O133" s="1" t="s">
        <v>30</v>
      </c>
      <c r="P133" s="1" t="s">
        <v>753</v>
      </c>
      <c r="Q133" s="1"/>
      <c r="R133" s="1"/>
      <c r="S133" s="3">
        <v>110</v>
      </c>
      <c r="T133" s="2"/>
      <c r="U133" s="2" t="s">
        <v>754</v>
      </c>
      <c r="V133" s="4" t="s">
        <v>755</v>
      </c>
    </row>
    <row r="134" spans="1:23" ht="15" customHeight="1" x14ac:dyDescent="0.25">
      <c r="A134" s="1" t="s">
        <v>756</v>
      </c>
      <c r="B134" s="1"/>
      <c r="C134" s="1" t="s">
        <v>757</v>
      </c>
      <c r="D134" s="1" t="s">
        <v>30</v>
      </c>
      <c r="E134" s="1" t="s">
        <v>31</v>
      </c>
      <c r="F134" s="1" t="s">
        <v>50</v>
      </c>
      <c r="G134" s="1" t="s">
        <v>33</v>
      </c>
      <c r="H134" s="9" t="s">
        <v>206</v>
      </c>
      <c r="I134" s="1" t="s">
        <v>35</v>
      </c>
      <c r="J134" s="1" t="s">
        <v>27</v>
      </c>
      <c r="K134" s="1" t="s">
        <v>132</v>
      </c>
      <c r="L134" s="1" t="s">
        <v>75</v>
      </c>
      <c r="M134" s="1"/>
      <c r="O134" s="1" t="s">
        <v>30</v>
      </c>
      <c r="P134" s="1"/>
      <c r="Q134" s="1"/>
      <c r="R134" s="1"/>
      <c r="S134" s="3">
        <v>135</v>
      </c>
      <c r="T134" s="2"/>
      <c r="U134" s="2"/>
    </row>
    <row r="135" spans="1:23" ht="15" customHeight="1" x14ac:dyDescent="0.25">
      <c r="A135" s="1" t="s">
        <v>758</v>
      </c>
      <c r="B135" s="1"/>
      <c r="C135" s="1" t="s">
        <v>759</v>
      </c>
      <c r="D135" s="1" t="s">
        <v>30</v>
      </c>
      <c r="E135" s="1" t="s">
        <v>49</v>
      </c>
      <c r="F135" s="1" t="s">
        <v>50</v>
      </c>
      <c r="G135" s="1" t="s">
        <v>33</v>
      </c>
      <c r="H135" s="9" t="s">
        <v>760</v>
      </c>
      <c r="I135" s="1" t="s">
        <v>82</v>
      </c>
      <c r="J135" s="1" t="s">
        <v>27</v>
      </c>
      <c r="K135" s="1" t="s">
        <v>356</v>
      </c>
      <c r="L135" s="1"/>
      <c r="M135" s="1"/>
      <c r="O135" s="1"/>
      <c r="P135" s="1"/>
      <c r="Q135" s="1"/>
      <c r="R135" s="1"/>
      <c r="S135" s="3">
        <v>452</v>
      </c>
      <c r="T135" s="2" t="s">
        <v>761</v>
      </c>
      <c r="U135" s="2" t="s">
        <v>762</v>
      </c>
      <c r="V135" s="4" t="s">
        <v>763</v>
      </c>
    </row>
    <row r="136" spans="1:23" ht="15" customHeight="1" x14ac:dyDescent="0.25">
      <c r="A136" s="1" t="s">
        <v>764</v>
      </c>
      <c r="B136" s="1"/>
      <c r="C136" s="1" t="s">
        <v>764</v>
      </c>
      <c r="D136" s="1" t="s">
        <v>48</v>
      </c>
      <c r="E136" s="1" t="s">
        <v>31</v>
      </c>
      <c r="F136" s="1" t="s">
        <v>50</v>
      </c>
      <c r="G136" s="1"/>
      <c r="H136" s="9" t="s">
        <v>765</v>
      </c>
      <c r="I136" s="1" t="s">
        <v>287</v>
      </c>
      <c r="J136" s="1" t="s">
        <v>27</v>
      </c>
      <c r="K136" s="1" t="s">
        <v>288</v>
      </c>
      <c r="L136" s="1" t="s">
        <v>75</v>
      </c>
      <c r="M136" s="1"/>
      <c r="O136" s="1"/>
      <c r="P136" s="1"/>
      <c r="Q136" s="1"/>
      <c r="R136" s="1"/>
      <c r="S136" s="3">
        <v>161</v>
      </c>
      <c r="T136" s="2" t="s">
        <v>766</v>
      </c>
      <c r="U136" s="2" t="s">
        <v>767</v>
      </c>
      <c r="V136" s="4" t="s">
        <v>768</v>
      </c>
    </row>
    <row r="137" spans="1:23" ht="15" customHeight="1" x14ac:dyDescent="0.25">
      <c r="A137" s="1" t="s">
        <v>769</v>
      </c>
      <c r="B137" s="1"/>
      <c r="C137" s="1" t="s">
        <v>769</v>
      </c>
      <c r="D137" s="1" t="s">
        <v>48</v>
      </c>
      <c r="E137" s="1" t="s">
        <v>31</v>
      </c>
      <c r="F137" s="1" t="s">
        <v>50</v>
      </c>
      <c r="G137" s="1"/>
      <c r="H137" s="9" t="s">
        <v>770</v>
      </c>
      <c r="I137" s="1" t="s">
        <v>82</v>
      </c>
      <c r="J137" s="1" t="s">
        <v>27</v>
      </c>
      <c r="K137" s="1" t="s">
        <v>771</v>
      </c>
      <c r="L137" s="1" t="s">
        <v>75</v>
      </c>
      <c r="M137" s="1"/>
      <c r="N137">
        <v>0</v>
      </c>
      <c r="O137" s="1"/>
      <c r="P137" s="1"/>
      <c r="Q137" s="1"/>
      <c r="R137" s="1"/>
      <c r="S137" s="3">
        <v>152</v>
      </c>
      <c r="T137" s="2" t="s">
        <v>772</v>
      </c>
      <c r="U137" s="2" t="s">
        <v>773</v>
      </c>
      <c r="V137" s="4" t="s">
        <v>774</v>
      </c>
    </row>
    <row r="138" spans="1:23" ht="15" customHeight="1" x14ac:dyDescent="0.25">
      <c r="A138" s="1" t="s">
        <v>775</v>
      </c>
      <c r="B138" s="1"/>
      <c r="C138" s="1" t="s">
        <v>776</v>
      </c>
      <c r="D138" s="1" t="s">
        <v>849</v>
      </c>
      <c r="E138" s="1" t="s">
        <v>31</v>
      </c>
      <c r="F138" s="1" t="s">
        <v>50</v>
      </c>
      <c r="G138" s="1" t="s">
        <v>33</v>
      </c>
      <c r="H138" s="9" t="s">
        <v>777</v>
      </c>
      <c r="I138" s="1" t="s">
        <v>82</v>
      </c>
      <c r="J138" s="1" t="s">
        <v>27</v>
      </c>
      <c r="K138" s="1" t="s">
        <v>778</v>
      </c>
      <c r="L138" s="1" t="s">
        <v>75</v>
      </c>
      <c r="M138" s="1"/>
      <c r="O138" s="1"/>
      <c r="P138" s="1" t="s">
        <v>119</v>
      </c>
      <c r="Q138" s="1" t="s">
        <v>342</v>
      </c>
      <c r="R138" s="1"/>
      <c r="S138" s="3">
        <v>166</v>
      </c>
      <c r="T138" s="2" t="s">
        <v>779</v>
      </c>
      <c r="U138" s="2" t="s">
        <v>780</v>
      </c>
      <c r="V138" s="4" t="s">
        <v>781</v>
      </c>
      <c r="W138" s="4" t="s">
        <v>782</v>
      </c>
    </row>
    <row r="139" spans="1:23" ht="15" customHeight="1" x14ac:dyDescent="0.25">
      <c r="A139" s="1" t="s">
        <v>783</v>
      </c>
      <c r="B139" s="1"/>
      <c r="C139" s="1" t="s">
        <v>784</v>
      </c>
      <c r="D139" s="1" t="s">
        <v>48</v>
      </c>
      <c r="E139" s="1" t="s">
        <v>31</v>
      </c>
      <c r="F139" s="1" t="s">
        <v>50</v>
      </c>
      <c r="G139" s="1" t="s">
        <v>785</v>
      </c>
      <c r="H139" s="9" t="s">
        <v>786</v>
      </c>
      <c r="I139" s="1" t="s">
        <v>82</v>
      </c>
      <c r="J139" s="1" t="s">
        <v>27</v>
      </c>
      <c r="K139" s="1" t="s">
        <v>356</v>
      </c>
      <c r="L139" s="1"/>
      <c r="M139" s="1"/>
      <c r="O139" s="1"/>
      <c r="P139" s="1"/>
      <c r="Q139" s="1"/>
      <c r="R139" s="1"/>
      <c r="S139" s="3">
        <v>256</v>
      </c>
      <c r="T139" s="2" t="s">
        <v>787</v>
      </c>
      <c r="U139" s="2" t="s">
        <v>788</v>
      </c>
      <c r="V139" s="4" t="s">
        <v>789</v>
      </c>
    </row>
    <row r="140" spans="1:23" ht="15" customHeight="1" x14ac:dyDescent="0.25">
      <c r="A140" s="1" t="s">
        <v>790</v>
      </c>
      <c r="B140" s="1"/>
      <c r="C140" s="1" t="s">
        <v>791</v>
      </c>
      <c r="D140" s="1" t="s">
        <v>30</v>
      </c>
      <c r="E140" s="1" t="s">
        <v>31</v>
      </c>
      <c r="F140" s="1" t="s">
        <v>50</v>
      </c>
      <c r="G140" s="1" t="s">
        <v>33</v>
      </c>
      <c r="H140" s="9" t="s">
        <v>792</v>
      </c>
      <c r="I140" s="1" t="s">
        <v>82</v>
      </c>
      <c r="J140" s="1" t="s">
        <v>27</v>
      </c>
      <c r="K140" s="1" t="s">
        <v>793</v>
      </c>
      <c r="L140" s="1"/>
      <c r="M140" s="1"/>
      <c r="O140" s="1"/>
      <c r="P140" s="1"/>
      <c r="Q140" s="1"/>
      <c r="R140" s="1"/>
      <c r="S140" s="3">
        <v>287</v>
      </c>
      <c r="T140" s="2" t="s">
        <v>794</v>
      </c>
      <c r="U140" s="2" t="s">
        <v>795</v>
      </c>
      <c r="V140" s="4" t="s">
        <v>796</v>
      </c>
      <c r="W140" s="4" t="s">
        <v>797</v>
      </c>
    </row>
    <row r="141" spans="1:23" ht="15" customHeight="1" x14ac:dyDescent="0.25">
      <c r="A141" s="1" t="s">
        <v>798</v>
      </c>
      <c r="B141" s="1"/>
      <c r="C141" s="1" t="s">
        <v>798</v>
      </c>
      <c r="D141" s="1" t="s">
        <v>30</v>
      </c>
      <c r="E141" s="1" t="s">
        <v>49</v>
      </c>
      <c r="F141" s="1" t="s">
        <v>50</v>
      </c>
      <c r="G141" s="1" t="s">
        <v>33</v>
      </c>
      <c r="H141" s="9" t="s">
        <v>206</v>
      </c>
      <c r="I141" s="1" t="s">
        <v>35</v>
      </c>
      <c r="J141" s="1" t="s">
        <v>27</v>
      </c>
      <c r="K141" s="1" t="s">
        <v>132</v>
      </c>
      <c r="L141" s="1"/>
      <c r="M141" s="1"/>
      <c r="O141" s="1" t="s">
        <v>30</v>
      </c>
      <c r="P141" s="1"/>
      <c r="Q141" s="1"/>
      <c r="R141" s="1"/>
      <c r="S141" s="3">
        <v>185</v>
      </c>
      <c r="T141" s="2"/>
      <c r="U141" s="2" t="s">
        <v>799</v>
      </c>
      <c r="V141" s="4" t="s">
        <v>800</v>
      </c>
    </row>
    <row r="142" spans="1:23" ht="15" customHeight="1" x14ac:dyDescent="0.25">
      <c r="A142" s="1" t="s">
        <v>801</v>
      </c>
      <c r="B142" s="1"/>
      <c r="C142" s="1" t="s">
        <v>802</v>
      </c>
      <c r="D142" s="1" t="s">
        <v>48</v>
      </c>
      <c r="E142" s="1" t="s">
        <v>49</v>
      </c>
      <c r="F142" s="1" t="s">
        <v>50</v>
      </c>
      <c r="G142" s="1" t="s">
        <v>418</v>
      </c>
      <c r="H142" s="9" t="s">
        <v>803</v>
      </c>
      <c r="I142" s="1" t="s">
        <v>82</v>
      </c>
      <c r="J142" s="1" t="s">
        <v>27</v>
      </c>
      <c r="K142" s="1" t="s">
        <v>548</v>
      </c>
      <c r="L142" s="1"/>
      <c r="M142" s="1"/>
      <c r="N142">
        <v>0</v>
      </c>
      <c r="O142" s="1"/>
      <c r="P142" s="1"/>
      <c r="Q142" s="1"/>
      <c r="R142" s="1"/>
      <c r="S142" s="3">
        <v>354</v>
      </c>
      <c r="T142" s="2" t="s">
        <v>804</v>
      </c>
      <c r="U142" s="2" t="s">
        <v>805</v>
      </c>
      <c r="V142" s="4" t="s">
        <v>806</v>
      </c>
    </row>
  </sheetData>
  <phoneticPr fontId="19" type="noConversion"/>
  <hyperlinks>
    <hyperlink ref="V6" r:id="rId1" xr:uid="{BE006B22-1F87-408F-B083-AED33848F499}"/>
    <hyperlink ref="V7" r:id="rId2" xr:uid="{68758C23-6EF6-4027-807A-7D2B6A52649D}"/>
    <hyperlink ref="V8" r:id="rId3" xr:uid="{C51225A0-7A76-4B0C-BCF9-8A1DC27F5051}"/>
    <hyperlink ref="V9" r:id="rId4" xr:uid="{1B44153B-73E9-4D37-9E1A-49E9CEE66CB1}"/>
    <hyperlink ref="V10" r:id="rId5" xr:uid="{9C3281BA-662E-4F18-877D-91FA7FAC1048}"/>
    <hyperlink ref="V11" r:id="rId6" xr:uid="{91AAD62A-5F4A-4F90-B721-B5346CA9CA0F}"/>
    <hyperlink ref="V12" r:id="rId7" xr:uid="{F0C45395-9542-43CF-BC9A-1B789ABFECAF}"/>
    <hyperlink ref="V14" r:id="rId8" xr:uid="{1364C276-7211-4C83-8DF4-6FC6C0AAF59F}"/>
    <hyperlink ref="V15" r:id="rId9" xr:uid="{D845E29A-93BB-460E-B174-39E630B3243C}"/>
    <hyperlink ref="V16" r:id="rId10" xr:uid="{86EFB597-0F63-41C6-8A21-2974AE4716B0}"/>
    <hyperlink ref="V17" r:id="rId11" xr:uid="{C6A05EB5-CFAA-4A93-BF7B-CD51FA5DA9FE}"/>
    <hyperlink ref="V18" r:id="rId12" xr:uid="{DADACB0D-6B2B-4E6C-8F2A-EC8152735533}"/>
    <hyperlink ref="V19" r:id="rId13" xr:uid="{1EEA66F2-4C6C-4EB3-96F2-7E07BAEE5182}"/>
    <hyperlink ref="V20" r:id="rId14" xr:uid="{707A7CA2-3D29-4A71-A485-B457F6DAFBA5}"/>
    <hyperlink ref="V22" r:id="rId15" xr:uid="{533C3D65-0748-4751-A38A-4D9A13755E20}"/>
    <hyperlink ref="V23" r:id="rId16" xr:uid="{1857B182-67C4-4EB2-89D5-0823046534BD}"/>
    <hyperlink ref="V24" r:id="rId17" xr:uid="{BF54E532-25B6-4025-980A-7CCDA8C7166F}"/>
    <hyperlink ref="V25" r:id="rId18" xr:uid="{1FCF29BB-E15B-405D-962E-762A3592DE28}"/>
    <hyperlink ref="V26" r:id="rId19" xr:uid="{7234B612-BAC7-48D6-B09E-7BCBD4E5324D}"/>
    <hyperlink ref="V27" r:id="rId20" xr:uid="{C4DEDFE3-CDEF-491B-8C65-D6A7AADCE30F}"/>
    <hyperlink ref="V29" r:id="rId21" xr:uid="{1A07E2F7-626E-4143-89BB-CD064F3C9312}"/>
    <hyperlink ref="V32" r:id="rId22" xr:uid="{BB185789-2D7D-4628-8CB1-886D6319985C}"/>
    <hyperlink ref="V33" r:id="rId23" xr:uid="{4E6C3B39-29F3-4E05-89C7-144E4DC70745}"/>
    <hyperlink ref="V37" r:id="rId24" xr:uid="{1E98E38A-3A0F-497B-BCB4-862E33EAA792}"/>
    <hyperlink ref="V40" r:id="rId25" xr:uid="{3E781628-A3E3-4A58-8DA7-8CF8D276E014}"/>
    <hyperlink ref="V43" r:id="rId26" xr:uid="{28B9CE64-889B-4934-8AC9-4C8B0EF2ABDF}"/>
    <hyperlink ref="V44" r:id="rId27" xr:uid="{486315DA-627F-46AE-AC00-88B5A2B933A4}"/>
    <hyperlink ref="V46" r:id="rId28" xr:uid="{F9F6C8C1-B6CA-4C92-8155-CD9E9CA06CF7}"/>
    <hyperlink ref="V47" r:id="rId29" location=":~:text=Filestage%20is%20the%20online%20proofing%20software%20for%20brands%20and" xr:uid="{7A224014-2ABB-4C04-B0CD-1C342449C507}"/>
    <hyperlink ref="V49" r:id="rId30" xr:uid="{32AD078B-0CDB-47AD-AC70-E8880DB191F1}"/>
    <hyperlink ref="V50" r:id="rId31" xr:uid="{F76AE272-B6E6-419A-9135-802D87B0C63B}"/>
    <hyperlink ref="V51" r:id="rId32" xr:uid="{48EED16B-9911-45D9-B3EA-A2A6B107E2D8}"/>
    <hyperlink ref="V53" r:id="rId33" xr:uid="{908A97EF-7A90-46CE-8380-3C0E9B7D1DD2}"/>
    <hyperlink ref="V54" r:id="rId34" xr:uid="{EA131915-13E3-4DE3-A3B7-FBE673D76755}"/>
    <hyperlink ref="V56" r:id="rId35" xr:uid="{5470A329-D39E-472B-A260-77AC446F59B0}"/>
    <hyperlink ref="V57" r:id="rId36" xr:uid="{2DE8D8DC-236F-4606-86B4-3FBCD453B1AC}"/>
    <hyperlink ref="V58" r:id="rId37" xr:uid="{73E25E0C-1405-4C66-A96D-A6177137CA99}"/>
    <hyperlink ref="V60" r:id="rId38" xr:uid="{A845158A-0D98-4151-A90E-6A84473B3AAC}"/>
    <hyperlink ref="V61" r:id="rId39" xr:uid="{646C2FFA-C2BD-4336-A539-5C7A1A88C62F}"/>
    <hyperlink ref="V65" r:id="rId40" xr:uid="{A73F975C-3AD5-435D-86CF-6A5FD5E467A1}"/>
    <hyperlink ref="V66" r:id="rId41" xr:uid="{DE2747D6-9415-4A9D-86BA-48FF16CA90D9}"/>
    <hyperlink ref="V67" r:id="rId42" xr:uid="{12F005F3-C894-413D-9445-D031674C611A}"/>
    <hyperlink ref="V68" r:id="rId43" xr:uid="{9E78F41A-3F4C-4816-A3C8-406C738B6DCB}"/>
    <hyperlink ref="V69" r:id="rId44" xr:uid="{5A2E5AEF-13D1-46D6-9984-C1C29F8D1325}"/>
    <hyperlink ref="V71" r:id="rId45" xr:uid="{6B4A42A5-29CA-4D57-8E20-6A2DB2E02B16}"/>
    <hyperlink ref="V72" r:id="rId46" xr:uid="{5A049C50-A2C7-4631-B530-A2695E47E7C6}"/>
    <hyperlink ref="V74" r:id="rId47" xr:uid="{B5570439-F455-41AF-BDA9-BF1839A5AEB0}"/>
    <hyperlink ref="V75" r:id="rId48" xr:uid="{35E43ED9-54D3-4139-BABF-322AF3D37626}"/>
    <hyperlink ref="V76" r:id="rId49" xr:uid="{4655D2E5-0E66-429A-B885-5B10E6638418}"/>
    <hyperlink ref="V77" r:id="rId50" xr:uid="{B9044D48-C7A8-4480-9794-E95803998FFC}"/>
    <hyperlink ref="V78" r:id="rId51" xr:uid="{78BA5F40-A05D-4392-BA33-2EB8FD23B0AF}"/>
    <hyperlink ref="V79" r:id="rId52" xr:uid="{0BDE0903-4CC1-4BF4-99A8-1E681BC930D4}"/>
    <hyperlink ref="V80" r:id="rId53" xr:uid="{DB2E8865-ACF6-43B4-AB48-130CD0304AEC}"/>
    <hyperlink ref="V81" r:id="rId54" xr:uid="{73BF7B9E-F984-431F-9A57-A4A28FB75145}"/>
    <hyperlink ref="V82" r:id="rId55" xr:uid="{DA8531F0-A7DC-4A5C-98B6-21B9FC3BE0FD}"/>
    <hyperlink ref="V84" r:id="rId56" xr:uid="{EE646C26-6715-45DF-B326-8B6DEE47CE65}"/>
    <hyperlink ref="V86" r:id="rId57" xr:uid="{2BE6AB12-7DF0-4804-A5F5-3CC90798F595}"/>
    <hyperlink ref="V87" r:id="rId58" xr:uid="{C1D71C96-A33C-4501-9465-AC4E62C15839}"/>
    <hyperlink ref="V88" r:id="rId59" xr:uid="{939378F0-6CC6-4F8E-BD8D-BC11BB9BDE86}"/>
    <hyperlink ref="V89" r:id="rId60" xr:uid="{70595A84-14D6-4E22-A877-55FF71C2E9CC}"/>
    <hyperlink ref="V91" r:id="rId61" xr:uid="{A079AA79-D6DA-4B0F-ABC2-E551C3D0FFE5}"/>
    <hyperlink ref="V92" r:id="rId62" xr:uid="{E5765E1F-9B70-470A-87DC-52DD9CC89270}"/>
    <hyperlink ref="V93" r:id="rId63" xr:uid="{BE41ADF2-6FAC-45A5-8C94-F0CBE4B08E0F}"/>
    <hyperlink ref="V94" r:id="rId64" xr:uid="{9C4677CD-FC79-4798-80CB-69949FCBAED4}"/>
    <hyperlink ref="V95" r:id="rId65" xr:uid="{CF0804F8-309A-4DD7-B584-2378AD69AD9F}"/>
    <hyperlink ref="V96" r:id="rId66" xr:uid="{3AE64BA0-216E-4AB1-B069-1CF1F4D34A60}"/>
    <hyperlink ref="V97" r:id="rId67" xr:uid="{4CA948FB-BA8C-4525-A583-C9DF139E20B6}"/>
    <hyperlink ref="V98" r:id="rId68" xr:uid="{1B77B21E-4CF1-424B-A3D6-FDB45A614694}"/>
    <hyperlink ref="V100" r:id="rId69" xr:uid="{15B230B8-D9C7-4825-8D58-08E3FBAEC380}"/>
    <hyperlink ref="V101" r:id="rId70" xr:uid="{32535ED3-C433-49A3-90AF-A74CD8F6E8DA}"/>
    <hyperlink ref="V102" r:id="rId71" xr:uid="{7BB0DEB7-0063-4766-9095-0F6F5EB43B7F}"/>
    <hyperlink ref="V103" r:id="rId72" xr:uid="{1672C787-3B91-4E1C-AC9F-82B54C42DEA9}"/>
    <hyperlink ref="V104" r:id="rId73" xr:uid="{13C89580-15B6-4C9A-86F5-7DDE834EBFB6}"/>
    <hyperlink ref="V105" r:id="rId74" xr:uid="{5C354915-2D5C-4546-A7EF-BC458EEE6C02}"/>
    <hyperlink ref="V106" r:id="rId75" xr:uid="{11787F1E-4CF3-45EC-8C89-CC62FAA116CF}"/>
    <hyperlink ref="V108" r:id="rId76" xr:uid="{EF3EB8B5-90A0-479D-B0DD-F9A332DD2C34}"/>
    <hyperlink ref="V109" r:id="rId77" xr:uid="{28A366FC-319F-4FE8-BE67-A2CD8129FEF8}"/>
    <hyperlink ref="V110" r:id="rId78" xr:uid="{7AC10E4E-A0C9-4F17-AC2F-3CE1A9EA5EE8}"/>
    <hyperlink ref="V111" r:id="rId79" xr:uid="{646944BE-F0AA-4BFE-AAA7-D6152C8CE370}"/>
    <hyperlink ref="V112" r:id="rId80" xr:uid="{F8C01AF3-B91B-4A98-A3A3-5FD0604FFE92}"/>
    <hyperlink ref="V113" r:id="rId81" xr:uid="{F52338D0-A3B6-4EFF-8EBC-D8B197BE9CC1}"/>
    <hyperlink ref="V114" r:id="rId82" xr:uid="{2B10B95C-01D5-4192-A815-AC813ACDC96F}"/>
    <hyperlink ref="V115" r:id="rId83" xr:uid="{2545C042-27AB-4BA8-8E1C-D1EC2FF613C0}"/>
    <hyperlink ref="V116" r:id="rId84" xr:uid="{54D1C18E-0717-40F0-801D-CC95599E861C}"/>
    <hyperlink ref="V117" r:id="rId85" xr:uid="{D9953DAE-0B02-4AD0-9B4A-71BAB6DC2A72}"/>
    <hyperlink ref="V118" r:id="rId86" xr:uid="{F4A17D30-8CDC-49E5-A8A0-278E4427F6D9}"/>
    <hyperlink ref="V119" r:id="rId87" xr:uid="{7091828C-A3E5-47F4-AA3B-A0C6BB5C447A}"/>
    <hyperlink ref="V120" r:id="rId88" xr:uid="{17E44347-2CF3-4B93-A3FE-8FD7CEBAB26C}"/>
    <hyperlink ref="V121" r:id="rId89" xr:uid="{590EA164-5D7B-4D69-983C-532BED05BC8B}"/>
    <hyperlink ref="V122" r:id="rId90" xr:uid="{148D8375-5F9A-4395-8A29-24B898BED9E8}"/>
    <hyperlink ref="V126" r:id="rId91" xr:uid="{C849D48C-BAF9-446F-A230-8270EC60F687}"/>
    <hyperlink ref="V127" r:id="rId92" xr:uid="{0F9C05CF-BF6E-4F3F-AF33-030DC812A175}"/>
    <hyperlink ref="V128" r:id="rId93" xr:uid="{54C5B2B3-1D32-4815-8DEB-B4262B0E275F}"/>
    <hyperlink ref="V129" r:id="rId94" xr:uid="{164D0D56-B4B5-4E84-844D-C48CB0DBB0F6}"/>
    <hyperlink ref="V130" r:id="rId95" xr:uid="{6D62A356-0C20-4956-B655-F7420176663A}"/>
    <hyperlink ref="V131" r:id="rId96" xr:uid="{41179D87-2D66-423C-A4E3-6FA6542FD9AC}"/>
    <hyperlink ref="V132" r:id="rId97" xr:uid="{D83CF07A-9026-4A0E-B004-F31B0535E71A}"/>
    <hyperlink ref="V133" r:id="rId98" xr:uid="{20CCC325-2AC0-4C82-B2F7-5336C45D123F}"/>
    <hyperlink ref="V135" r:id="rId99" xr:uid="{E72FA3EF-FFBE-4713-9AE4-090B3CF981A7}"/>
    <hyperlink ref="V136" r:id="rId100" xr:uid="{F2B7D4C3-D5BC-4D10-9503-6D85D3955050}"/>
    <hyperlink ref="V137" r:id="rId101" xr:uid="{ACC65162-017F-463F-8573-024F257719DE}"/>
    <hyperlink ref="V138" r:id="rId102" xr:uid="{5E7FC231-53E3-4D37-8E83-50727637C79C}"/>
    <hyperlink ref="V139" r:id="rId103" xr:uid="{8B828904-0977-4F10-9C25-A21D0143E51C}"/>
    <hyperlink ref="V140" r:id="rId104" xr:uid="{CA8CC763-A47F-4A9E-B2FB-25CB5CFAFFB4}"/>
    <hyperlink ref="V141" r:id="rId105" xr:uid="{7D851874-949F-46FC-9D42-48814E47E12B}"/>
    <hyperlink ref="V142" r:id="rId106" xr:uid="{B52F4948-00EE-4F91-B437-F5537394CE52}"/>
    <hyperlink ref="W12" r:id="rId107" xr:uid="{2EFAF09B-CE07-4CAE-9E3D-F174164C3B44}"/>
    <hyperlink ref="W27" r:id="rId108" xr:uid="{587ECFD0-74D8-4987-8D07-1B88C2D68C56}"/>
    <hyperlink ref="W33" r:id="rId109" xr:uid="{1D7C4774-D65C-4276-8EB6-B121021B45F7}"/>
    <hyperlink ref="W49" r:id="rId110" xr:uid="{71209AD4-1DC6-46FE-BB92-C25BFE7A55E8}"/>
    <hyperlink ref="W51" r:id="rId111" xr:uid="{88E28AA1-DEDA-41A9-B19A-E5FAA9B38D7B}"/>
    <hyperlink ref="W56" r:id="rId112" xr:uid="{6FC1147F-8C2F-49A8-A18D-EDF7071F65D8}"/>
    <hyperlink ref="W60" r:id="rId113" xr:uid="{652BD29B-F842-4774-8441-7BD667B34F2D}"/>
    <hyperlink ref="W61" r:id="rId114" xr:uid="{8A407380-6D5A-4561-8B68-A10C5C014843}"/>
    <hyperlink ref="W65" r:id="rId115" xr:uid="{9A709F1E-16C8-4742-A09E-BE51B2E87C95}"/>
    <hyperlink ref="W73" r:id="rId116" xr:uid="{7C4C8E63-E9CD-4C73-A7CA-6E07FB935581}"/>
    <hyperlink ref="W76" r:id="rId117" xr:uid="{53DB4BBC-6B4A-4992-A4AB-1C3BC3873433}"/>
    <hyperlink ref="W82" r:id="rId118" xr:uid="{98997BB5-6620-4CF7-B49B-99A0158DEAAD}"/>
    <hyperlink ref="W83" r:id="rId119" xr:uid="{591DB50D-A07D-4118-8F69-F0282A01DFF5}"/>
    <hyperlink ref="W84" r:id="rId120" xr:uid="{CD013281-CA46-4DD0-91A4-88E6122CA88F}"/>
    <hyperlink ref="W94" r:id="rId121" xr:uid="{28CFAF1A-18B3-48FF-ADE1-3507A34C0712}"/>
    <hyperlink ref="W100" r:id="rId122" xr:uid="{085417A5-97E2-4297-837F-AE832769AC9D}"/>
    <hyperlink ref="W115" r:id="rId123" xr:uid="{1E0571BE-D8D9-48F9-8B41-3FA55528C73A}"/>
    <hyperlink ref="W138" r:id="rId124" xr:uid="{8DA99F31-10EB-4B2A-96ED-E9962BDEC966}"/>
    <hyperlink ref="W140" r:id="rId125" xr:uid="{98B3F002-C8B4-4500-B527-C27CCCB5596B}"/>
  </hyperlinks>
  <pageMargins left="0.7" right="0.7" top="0.75" bottom="0.75" header="0.3" footer="0.3"/>
  <pageSetup orientation="portrait" r:id="rId126"/>
  <tableParts count="1">
    <tablePart r:id="rId12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A0E9E-F488-4F23-A2E9-E3CC4B72BBE9}">
  <dimension ref="A1:F127"/>
  <sheetViews>
    <sheetView topLeftCell="A120" workbookViewId="0">
      <selection activeCell="C1" sqref="C1:C127"/>
    </sheetView>
  </sheetViews>
  <sheetFormatPr defaultRowHeight="15" x14ac:dyDescent="0.25"/>
  <cols>
    <col min="1" max="1" width="46" bestFit="1" customWidth="1"/>
    <col min="2" max="2" width="20.28515625" bestFit="1" customWidth="1"/>
    <col min="3" max="3" width="12" bestFit="1" customWidth="1"/>
  </cols>
  <sheetData>
    <row r="1" spans="1:5" x14ac:dyDescent="0.25">
      <c r="A1" s="7" t="s">
        <v>807</v>
      </c>
      <c r="B1" s="7" t="s">
        <v>808</v>
      </c>
      <c r="C1" s="7" t="s">
        <v>809</v>
      </c>
      <c r="D1" s="7" t="s">
        <v>810</v>
      </c>
    </row>
    <row r="2" spans="1:5" x14ac:dyDescent="0.25">
      <c r="A2" t="s">
        <v>29</v>
      </c>
      <c r="B2">
        <v>48064.800000000003</v>
      </c>
      <c r="C2">
        <v>48064.800000000003</v>
      </c>
      <c r="D2" t="b">
        <f>B2&lt;&gt;C2</f>
        <v>0</v>
      </c>
    </row>
    <row r="3" spans="1:5" x14ac:dyDescent="0.25">
      <c r="A3" t="s">
        <v>41</v>
      </c>
      <c r="B3">
        <v>73453</v>
      </c>
      <c r="C3">
        <v>73453</v>
      </c>
      <c r="D3" t="b">
        <f t="shared" ref="D3:D62" si="0">B3&lt;&gt;C3</f>
        <v>0</v>
      </c>
    </row>
    <row r="4" spans="1:5" x14ac:dyDescent="0.25">
      <c r="A4" t="s">
        <v>811</v>
      </c>
      <c r="B4">
        <v>1311.27</v>
      </c>
      <c r="C4">
        <v>1311.27</v>
      </c>
      <c r="D4" t="b">
        <f t="shared" si="0"/>
        <v>0</v>
      </c>
    </row>
    <row r="5" spans="1:5" x14ac:dyDescent="0.25">
      <c r="A5" t="s">
        <v>47</v>
      </c>
      <c r="B5">
        <v>149730</v>
      </c>
      <c r="C5">
        <v>90097.0316689592</v>
      </c>
      <c r="D5" t="b">
        <f t="shared" si="0"/>
        <v>1</v>
      </c>
      <c r="E5">
        <f t="shared" ref="E5" si="1">C5/B5</f>
        <v>0.60172999177826225</v>
      </c>
    </row>
    <row r="6" spans="1:5" x14ac:dyDescent="0.25">
      <c r="A6" t="s">
        <v>812</v>
      </c>
      <c r="B6">
        <v>68800</v>
      </c>
      <c r="C6">
        <v>68800</v>
      </c>
      <c r="D6" t="b">
        <f t="shared" si="0"/>
        <v>0</v>
      </c>
    </row>
    <row r="7" spans="1:5" x14ac:dyDescent="0.25">
      <c r="A7" t="s">
        <v>813</v>
      </c>
      <c r="B7">
        <v>8875000</v>
      </c>
      <c r="C7">
        <v>1775000</v>
      </c>
      <c r="D7" t="b">
        <f t="shared" si="0"/>
        <v>1</v>
      </c>
      <c r="E7">
        <f>C7/B7</f>
        <v>0.2</v>
      </c>
    </row>
    <row r="8" spans="1:5" x14ac:dyDescent="0.25">
      <c r="A8" t="s">
        <v>72</v>
      </c>
      <c r="B8">
        <v>6384</v>
      </c>
      <c r="C8">
        <v>6384</v>
      </c>
      <c r="D8" t="b">
        <f t="shared" si="0"/>
        <v>0</v>
      </c>
    </row>
    <row r="9" spans="1:5" x14ac:dyDescent="0.25">
      <c r="A9" t="s">
        <v>814</v>
      </c>
      <c r="B9">
        <v>278050</v>
      </c>
      <c r="C9">
        <v>278050</v>
      </c>
      <c r="D9" t="b">
        <f t="shared" si="0"/>
        <v>0</v>
      </c>
    </row>
    <row r="10" spans="1:5" x14ac:dyDescent="0.25">
      <c r="A10" t="s">
        <v>80</v>
      </c>
      <c r="B10">
        <v>72000</v>
      </c>
      <c r="C10">
        <v>72000</v>
      </c>
      <c r="D10" t="b">
        <f t="shared" si="0"/>
        <v>0</v>
      </c>
    </row>
    <row r="11" spans="1:5" x14ac:dyDescent="0.25">
      <c r="A11" t="s">
        <v>96</v>
      </c>
      <c r="B11">
        <v>114451</v>
      </c>
      <c r="C11">
        <v>114451</v>
      </c>
      <c r="D11" t="b">
        <f t="shared" si="0"/>
        <v>0</v>
      </c>
    </row>
    <row r="12" spans="1:5" x14ac:dyDescent="0.25">
      <c r="A12" t="s">
        <v>106</v>
      </c>
      <c r="B12">
        <v>185353.56</v>
      </c>
      <c r="C12">
        <v>185353.56</v>
      </c>
      <c r="D12" t="b">
        <f t="shared" si="0"/>
        <v>0</v>
      </c>
    </row>
    <row r="13" spans="1:5" x14ac:dyDescent="0.25">
      <c r="A13" t="s">
        <v>815</v>
      </c>
      <c r="B13">
        <v>38181.82</v>
      </c>
      <c r="C13">
        <v>38181.82</v>
      </c>
      <c r="D13" t="b">
        <f t="shared" si="0"/>
        <v>0</v>
      </c>
    </row>
    <row r="14" spans="1:5" x14ac:dyDescent="0.25">
      <c r="A14" t="s">
        <v>116</v>
      </c>
      <c r="B14">
        <v>732701.2</v>
      </c>
      <c r="C14">
        <v>732701.2</v>
      </c>
      <c r="D14" t="b">
        <f t="shared" si="0"/>
        <v>0</v>
      </c>
    </row>
    <row r="15" spans="1:5" x14ac:dyDescent="0.25">
      <c r="A15" t="s">
        <v>816</v>
      </c>
      <c r="B15">
        <v>386098.52</v>
      </c>
      <c r="C15">
        <v>386098.52</v>
      </c>
      <c r="D15" t="b">
        <f t="shared" si="0"/>
        <v>0</v>
      </c>
    </row>
    <row r="16" spans="1:5" x14ac:dyDescent="0.25">
      <c r="A16" t="s">
        <v>123</v>
      </c>
      <c r="B16">
        <v>183548.13</v>
      </c>
      <c r="C16">
        <v>194215.266735866</v>
      </c>
      <c r="D16" t="b">
        <f t="shared" si="0"/>
        <v>1</v>
      </c>
      <c r="E16">
        <f t="shared" ref="E16:E17" si="2">C16/B16</f>
        <v>1.0581162920911589</v>
      </c>
    </row>
    <row r="17" spans="1:6" x14ac:dyDescent="0.25">
      <c r="A17" t="s">
        <v>817</v>
      </c>
      <c r="B17">
        <v>50000</v>
      </c>
      <c r="C17">
        <v>50000</v>
      </c>
      <c r="D17" t="b">
        <f t="shared" si="0"/>
        <v>0</v>
      </c>
      <c r="E17">
        <f t="shared" si="2"/>
        <v>1</v>
      </c>
      <c r="F17" t="s">
        <v>818</v>
      </c>
    </row>
    <row r="18" spans="1:6" x14ac:dyDescent="0.25">
      <c r="A18" t="s">
        <v>141</v>
      </c>
      <c r="B18">
        <v>15000</v>
      </c>
      <c r="C18">
        <v>15000</v>
      </c>
      <c r="D18" t="b">
        <f t="shared" si="0"/>
        <v>0</v>
      </c>
    </row>
    <row r="19" spans="1:6" x14ac:dyDescent="0.25">
      <c r="A19" t="s">
        <v>148</v>
      </c>
      <c r="B19">
        <v>780050.84</v>
      </c>
      <c r="C19">
        <v>780050.84</v>
      </c>
      <c r="D19" t="b">
        <f t="shared" si="0"/>
        <v>0</v>
      </c>
    </row>
    <row r="20" spans="1:6" x14ac:dyDescent="0.25">
      <c r="A20" t="s">
        <v>160</v>
      </c>
      <c r="B20">
        <v>49180</v>
      </c>
      <c r="C20">
        <v>49180</v>
      </c>
      <c r="D20" t="b">
        <f t="shared" si="0"/>
        <v>0</v>
      </c>
    </row>
    <row r="21" spans="1:6" x14ac:dyDescent="0.25">
      <c r="A21" t="s">
        <v>169</v>
      </c>
      <c r="B21">
        <v>23800</v>
      </c>
      <c r="C21">
        <v>25766.666666666701</v>
      </c>
      <c r="D21" t="b">
        <f t="shared" si="0"/>
        <v>1</v>
      </c>
      <c r="E21">
        <f t="shared" ref="E21:E22" si="3">C21/B21</f>
        <v>1.08263305322129</v>
      </c>
    </row>
    <row r="22" spans="1:6" x14ac:dyDescent="0.25">
      <c r="A22" t="s">
        <v>819</v>
      </c>
      <c r="B22">
        <v>1584</v>
      </c>
      <c r="C22">
        <v>1584</v>
      </c>
      <c r="D22" t="b">
        <f t="shared" si="0"/>
        <v>0</v>
      </c>
      <c r="E22">
        <f t="shared" si="3"/>
        <v>1</v>
      </c>
      <c r="F22" t="s">
        <v>818</v>
      </c>
    </row>
    <row r="23" spans="1:6" x14ac:dyDescent="0.25">
      <c r="A23" t="s">
        <v>820</v>
      </c>
      <c r="B23">
        <v>14400</v>
      </c>
      <c r="C23">
        <v>14400</v>
      </c>
      <c r="D23" t="b">
        <f t="shared" si="0"/>
        <v>0</v>
      </c>
    </row>
    <row r="24" spans="1:6" x14ac:dyDescent="0.25">
      <c r="A24" t="s">
        <v>821</v>
      </c>
      <c r="B24">
        <v>100034</v>
      </c>
      <c r="C24">
        <v>100034</v>
      </c>
      <c r="D24" t="b">
        <f t="shared" si="0"/>
        <v>0</v>
      </c>
    </row>
    <row r="25" spans="1:6" x14ac:dyDescent="0.25">
      <c r="A25" t="s">
        <v>187</v>
      </c>
      <c r="B25">
        <v>24889.29</v>
      </c>
      <c r="C25">
        <v>20978.6233333333</v>
      </c>
      <c r="D25" t="b">
        <f t="shared" si="0"/>
        <v>1</v>
      </c>
      <c r="E25">
        <f>C25/B25</f>
        <v>0.84287753219691275</v>
      </c>
    </row>
    <row r="26" spans="1:6" x14ac:dyDescent="0.25">
      <c r="A26" t="s">
        <v>822</v>
      </c>
      <c r="B26">
        <v>50594.11</v>
      </c>
      <c r="C26">
        <v>50594.11</v>
      </c>
      <c r="D26" t="b">
        <f t="shared" si="0"/>
        <v>0</v>
      </c>
    </row>
    <row r="27" spans="1:6" x14ac:dyDescent="0.25">
      <c r="A27" t="s">
        <v>823</v>
      </c>
      <c r="B27">
        <v>15000617.59</v>
      </c>
      <c r="C27">
        <v>5981416.1025692504</v>
      </c>
      <c r="D27" t="b">
        <f t="shared" si="0"/>
        <v>1</v>
      </c>
      <c r="E27">
        <f>C27/B27</f>
        <v>0.398744656123805</v>
      </c>
    </row>
    <row r="28" spans="1:6" x14ac:dyDescent="0.25">
      <c r="A28" t="s">
        <v>194</v>
      </c>
      <c r="B28">
        <v>871034.04</v>
      </c>
      <c r="C28">
        <v>871034.04</v>
      </c>
      <c r="D28" t="b">
        <f t="shared" si="0"/>
        <v>0</v>
      </c>
    </row>
    <row r="29" spans="1:6" x14ac:dyDescent="0.25">
      <c r="A29" t="s">
        <v>200</v>
      </c>
      <c r="B29">
        <v>627770</v>
      </c>
      <c r="C29">
        <v>627770</v>
      </c>
      <c r="D29" t="b">
        <f t="shared" si="0"/>
        <v>0</v>
      </c>
    </row>
    <row r="30" spans="1:6" x14ac:dyDescent="0.25">
      <c r="A30" t="s">
        <v>217</v>
      </c>
      <c r="B30">
        <v>1709.98</v>
      </c>
      <c r="C30">
        <v>1709.98</v>
      </c>
      <c r="D30" t="b">
        <f t="shared" si="0"/>
        <v>0</v>
      </c>
    </row>
    <row r="31" spans="1:6" x14ac:dyDescent="0.25">
      <c r="A31" t="s">
        <v>230</v>
      </c>
      <c r="B31">
        <v>2151</v>
      </c>
      <c r="C31">
        <v>717</v>
      </c>
      <c r="D31" t="b">
        <f t="shared" si="0"/>
        <v>1</v>
      </c>
      <c r="E31">
        <f t="shared" ref="E31:E34" si="4">C31/B31</f>
        <v>0.33333333333333331</v>
      </c>
    </row>
    <row r="32" spans="1:6" x14ac:dyDescent="0.25">
      <c r="A32" t="s">
        <v>233</v>
      </c>
      <c r="B32">
        <v>1795</v>
      </c>
      <c r="C32">
        <v>876.80834083388299</v>
      </c>
      <c r="D32" t="b">
        <f t="shared" si="0"/>
        <v>1</v>
      </c>
      <c r="E32">
        <f t="shared" si="4"/>
        <v>0.48847261327792924</v>
      </c>
    </row>
    <row r="33" spans="1:6" x14ac:dyDescent="0.25">
      <c r="A33" t="s">
        <v>236</v>
      </c>
      <c r="B33">
        <v>4915.3999999999996</v>
      </c>
      <c r="C33">
        <v>4815.88940740218</v>
      </c>
      <c r="D33" t="b">
        <f t="shared" si="0"/>
        <v>1</v>
      </c>
      <c r="E33">
        <f t="shared" si="4"/>
        <v>0.9797553418647883</v>
      </c>
    </row>
    <row r="34" spans="1:6" x14ac:dyDescent="0.25">
      <c r="A34" t="s">
        <v>824</v>
      </c>
      <c r="B34" t="s">
        <v>825</v>
      </c>
      <c r="C34">
        <v>41575.5</v>
      </c>
      <c r="D34" t="b">
        <f t="shared" si="0"/>
        <v>1</v>
      </c>
      <c r="E34" t="e">
        <f t="shared" si="4"/>
        <v>#VALUE!</v>
      </c>
    </row>
    <row r="35" spans="1:6" x14ac:dyDescent="0.25">
      <c r="A35" t="s">
        <v>240</v>
      </c>
      <c r="B35">
        <v>7300</v>
      </c>
      <c r="C35">
        <v>7300</v>
      </c>
      <c r="D35" t="b">
        <f t="shared" si="0"/>
        <v>0</v>
      </c>
    </row>
    <row r="36" spans="1:6" x14ac:dyDescent="0.25">
      <c r="A36" t="s">
        <v>826</v>
      </c>
      <c r="B36">
        <v>0</v>
      </c>
      <c r="C36">
        <v>0</v>
      </c>
      <c r="D36" t="b">
        <f t="shared" si="0"/>
        <v>0</v>
      </c>
    </row>
    <row r="37" spans="1:6" x14ac:dyDescent="0.25">
      <c r="A37" t="s">
        <v>827</v>
      </c>
      <c r="B37">
        <v>8554.69</v>
      </c>
      <c r="C37">
        <v>8554.69</v>
      </c>
      <c r="D37" t="b">
        <f t="shared" si="0"/>
        <v>0</v>
      </c>
      <c r="E37">
        <f>C37/B37</f>
        <v>1</v>
      </c>
      <c r="F37" t="s">
        <v>818</v>
      </c>
    </row>
    <row r="38" spans="1:6" x14ac:dyDescent="0.25">
      <c r="A38" t="s">
        <v>252</v>
      </c>
      <c r="B38">
        <v>75048</v>
      </c>
      <c r="C38">
        <v>75048</v>
      </c>
      <c r="D38" t="b">
        <f t="shared" si="0"/>
        <v>0</v>
      </c>
    </row>
    <row r="39" spans="1:6" x14ac:dyDescent="0.25">
      <c r="A39" t="s">
        <v>256</v>
      </c>
      <c r="B39">
        <v>530</v>
      </c>
      <c r="C39">
        <v>530</v>
      </c>
      <c r="D39" t="b">
        <f t="shared" si="0"/>
        <v>0</v>
      </c>
    </row>
    <row r="40" spans="1:6" x14ac:dyDescent="0.25">
      <c r="A40" t="s">
        <v>265</v>
      </c>
      <c r="B40">
        <v>219</v>
      </c>
      <c r="C40">
        <v>219</v>
      </c>
      <c r="D40" t="b">
        <f t="shared" si="0"/>
        <v>0</v>
      </c>
    </row>
    <row r="41" spans="1:6" x14ac:dyDescent="0.25">
      <c r="A41" t="s">
        <v>268</v>
      </c>
      <c r="B41">
        <v>2360</v>
      </c>
      <c r="C41">
        <v>2360</v>
      </c>
      <c r="D41" t="b">
        <f t="shared" si="0"/>
        <v>0</v>
      </c>
    </row>
    <row r="42" spans="1:6" x14ac:dyDescent="0.25">
      <c r="A42" t="s">
        <v>275</v>
      </c>
      <c r="B42">
        <v>432</v>
      </c>
      <c r="C42">
        <v>432</v>
      </c>
      <c r="D42" t="b">
        <f t="shared" si="0"/>
        <v>0</v>
      </c>
    </row>
    <row r="43" spans="1:6" x14ac:dyDescent="0.25">
      <c r="A43" t="s">
        <v>284</v>
      </c>
      <c r="B43">
        <v>102612.3</v>
      </c>
      <c r="C43">
        <v>102612.3</v>
      </c>
      <c r="D43" t="b">
        <f t="shared" si="0"/>
        <v>0</v>
      </c>
    </row>
    <row r="44" spans="1:6" x14ac:dyDescent="0.25">
      <c r="A44" t="s">
        <v>294</v>
      </c>
      <c r="B44">
        <v>4091.88</v>
      </c>
      <c r="C44">
        <v>4091.88</v>
      </c>
      <c r="D44" t="b">
        <f t="shared" si="0"/>
        <v>0</v>
      </c>
    </row>
    <row r="45" spans="1:6" x14ac:dyDescent="0.25">
      <c r="A45" t="s">
        <v>304</v>
      </c>
      <c r="B45">
        <v>3850</v>
      </c>
      <c r="C45">
        <v>6601.9385177756303</v>
      </c>
      <c r="D45" t="b">
        <f t="shared" si="0"/>
        <v>1</v>
      </c>
      <c r="E45">
        <f t="shared" ref="E45" si="5">C45/B45</f>
        <v>1.7147892253962675</v>
      </c>
    </row>
    <row r="46" spans="1:6" x14ac:dyDescent="0.25">
      <c r="A46" t="s">
        <v>311</v>
      </c>
      <c r="B46">
        <v>7.21</v>
      </c>
      <c r="C46">
        <v>7.21</v>
      </c>
      <c r="D46" t="b">
        <f t="shared" si="0"/>
        <v>0</v>
      </c>
    </row>
    <row r="47" spans="1:6" x14ac:dyDescent="0.25">
      <c r="A47" t="s">
        <v>828</v>
      </c>
      <c r="B47">
        <v>607515</v>
      </c>
      <c r="C47">
        <v>151878.75</v>
      </c>
      <c r="D47" t="b">
        <f t="shared" si="0"/>
        <v>1</v>
      </c>
      <c r="E47">
        <f>C47/B47</f>
        <v>0.25</v>
      </c>
    </row>
    <row r="48" spans="1:6" x14ac:dyDescent="0.25">
      <c r="A48" t="s">
        <v>316</v>
      </c>
      <c r="B48">
        <v>134133.65</v>
      </c>
      <c r="C48">
        <v>134133.65</v>
      </c>
      <c r="D48" t="b">
        <f t="shared" si="0"/>
        <v>0</v>
      </c>
    </row>
    <row r="49" spans="1:6" x14ac:dyDescent="0.25">
      <c r="A49" t="s">
        <v>323</v>
      </c>
      <c r="B49">
        <v>1399.93</v>
      </c>
      <c r="C49">
        <v>1399.93</v>
      </c>
      <c r="D49" t="b">
        <f t="shared" si="0"/>
        <v>0</v>
      </c>
    </row>
    <row r="50" spans="1:6" x14ac:dyDescent="0.25">
      <c r="A50" t="s">
        <v>326</v>
      </c>
      <c r="B50">
        <v>3784.21</v>
      </c>
      <c r="C50">
        <v>1261.40333333333</v>
      </c>
      <c r="D50" t="b">
        <f t="shared" si="0"/>
        <v>1</v>
      </c>
      <c r="E50">
        <f t="shared" ref="E50:E54" si="6">C50/B50</f>
        <v>0.33333333333333243</v>
      </c>
    </row>
    <row r="51" spans="1:6" x14ac:dyDescent="0.25">
      <c r="A51" t="s">
        <v>339</v>
      </c>
      <c r="B51">
        <v>2100000</v>
      </c>
      <c r="C51">
        <v>700000</v>
      </c>
      <c r="D51" t="b">
        <f t="shared" si="0"/>
        <v>1</v>
      </c>
      <c r="E51">
        <f t="shared" si="6"/>
        <v>0.33333333333333331</v>
      </c>
    </row>
    <row r="52" spans="1:6" x14ac:dyDescent="0.25">
      <c r="A52" t="s">
        <v>829</v>
      </c>
      <c r="B52">
        <v>58</v>
      </c>
      <c r="C52">
        <v>58</v>
      </c>
      <c r="D52" t="b">
        <f t="shared" si="0"/>
        <v>0</v>
      </c>
      <c r="E52">
        <f t="shared" si="6"/>
        <v>1</v>
      </c>
      <c r="F52" t="s">
        <v>818</v>
      </c>
    </row>
    <row r="53" spans="1:6" x14ac:dyDescent="0.25">
      <c r="A53" t="s">
        <v>830</v>
      </c>
      <c r="B53">
        <v>1564980.74</v>
      </c>
      <c r="C53">
        <v>525556.32689339702</v>
      </c>
      <c r="D53" t="b">
        <f t="shared" si="0"/>
        <v>1</v>
      </c>
      <c r="E53">
        <f t="shared" si="6"/>
        <v>0.33582287210345924</v>
      </c>
    </row>
    <row r="54" spans="1:6" x14ac:dyDescent="0.25">
      <c r="A54" t="s">
        <v>831</v>
      </c>
      <c r="B54">
        <v>2750506</v>
      </c>
      <c r="C54">
        <v>925998.53709130804</v>
      </c>
      <c r="D54" t="b">
        <f t="shared" si="0"/>
        <v>1</v>
      </c>
      <c r="E54">
        <f t="shared" si="6"/>
        <v>0.336664794438299</v>
      </c>
    </row>
    <row r="55" spans="1:6" x14ac:dyDescent="0.25">
      <c r="A55" t="s">
        <v>347</v>
      </c>
      <c r="B55">
        <v>37840</v>
      </c>
      <c r="C55">
        <v>37840</v>
      </c>
      <c r="D55" t="b">
        <f t="shared" si="0"/>
        <v>0</v>
      </c>
    </row>
    <row r="56" spans="1:6" x14ac:dyDescent="0.25">
      <c r="A56" t="s">
        <v>360</v>
      </c>
      <c r="B56">
        <v>28117.51</v>
      </c>
      <c r="C56">
        <v>28117.51</v>
      </c>
      <c r="D56" t="b">
        <f t="shared" si="0"/>
        <v>0</v>
      </c>
    </row>
    <row r="57" spans="1:6" x14ac:dyDescent="0.25">
      <c r="A57" t="s">
        <v>363</v>
      </c>
      <c r="B57">
        <v>508760</v>
      </c>
      <c r="C57">
        <v>393696.27844191698</v>
      </c>
      <c r="D57" t="b">
        <f t="shared" si="0"/>
        <v>1</v>
      </c>
      <c r="E57">
        <f>C57/B57</f>
        <v>0.77383496824026454</v>
      </c>
    </row>
    <row r="58" spans="1:6" x14ac:dyDescent="0.25">
      <c r="A58" t="s">
        <v>372</v>
      </c>
      <c r="B58">
        <v>90234</v>
      </c>
      <c r="C58">
        <v>90234</v>
      </c>
      <c r="D58" t="b">
        <f t="shared" si="0"/>
        <v>0</v>
      </c>
    </row>
    <row r="59" spans="1:6" x14ac:dyDescent="0.25">
      <c r="A59" t="s">
        <v>380</v>
      </c>
      <c r="B59">
        <v>4896.91</v>
      </c>
      <c r="C59">
        <v>4896.91</v>
      </c>
      <c r="D59" t="b">
        <f t="shared" si="0"/>
        <v>0</v>
      </c>
    </row>
    <row r="60" spans="1:6" x14ac:dyDescent="0.25">
      <c r="A60" t="s">
        <v>390</v>
      </c>
      <c r="B60">
        <v>190000</v>
      </c>
      <c r="C60">
        <v>63333.333333333299</v>
      </c>
      <c r="D60" t="b">
        <f t="shared" si="0"/>
        <v>1</v>
      </c>
      <c r="E60">
        <f t="shared" ref="E60:E61" si="7">C60/B60</f>
        <v>0.33333333333333315</v>
      </c>
    </row>
    <row r="61" spans="1:6" x14ac:dyDescent="0.25">
      <c r="A61" t="s">
        <v>398</v>
      </c>
      <c r="B61">
        <v>6492.06</v>
      </c>
      <c r="C61">
        <v>1298.412</v>
      </c>
      <c r="D61" t="b">
        <f t="shared" si="0"/>
        <v>1</v>
      </c>
      <c r="E61">
        <f t="shared" si="7"/>
        <v>0.19999999999999998</v>
      </c>
    </row>
    <row r="62" spans="1:6" x14ac:dyDescent="0.25">
      <c r="A62" t="s">
        <v>404</v>
      </c>
      <c r="B62">
        <v>20654.349999999999</v>
      </c>
      <c r="C62">
        <v>20654.349999999999</v>
      </c>
      <c r="D62" t="b">
        <f t="shared" si="0"/>
        <v>0</v>
      </c>
    </row>
    <row r="63" spans="1:6" x14ac:dyDescent="0.25">
      <c r="A63" t="s">
        <v>409</v>
      </c>
      <c r="B63">
        <v>339100</v>
      </c>
      <c r="C63">
        <v>339100</v>
      </c>
      <c r="D63" t="b">
        <f t="shared" ref="D63:D122" si="8">B63&lt;&gt;C63</f>
        <v>0</v>
      </c>
    </row>
    <row r="64" spans="1:6" x14ac:dyDescent="0.25">
      <c r="A64" t="s">
        <v>417</v>
      </c>
      <c r="B64">
        <v>3474.99</v>
      </c>
      <c r="C64">
        <v>3474.99</v>
      </c>
      <c r="D64" t="b">
        <f t="shared" si="8"/>
        <v>0</v>
      </c>
    </row>
    <row r="65" spans="1:6" x14ac:dyDescent="0.25">
      <c r="A65" t="s">
        <v>424</v>
      </c>
      <c r="B65">
        <v>17107.54</v>
      </c>
      <c r="C65">
        <v>969.31150020379403</v>
      </c>
      <c r="D65" t="b">
        <f t="shared" si="8"/>
        <v>1</v>
      </c>
      <c r="E65">
        <f>C65/B65</f>
        <v>5.6659899681882606E-2</v>
      </c>
    </row>
    <row r="66" spans="1:6" x14ac:dyDescent="0.25">
      <c r="A66" t="s">
        <v>428</v>
      </c>
      <c r="B66">
        <v>65616</v>
      </c>
      <c r="C66">
        <v>65616</v>
      </c>
      <c r="D66" t="b">
        <f t="shared" si="8"/>
        <v>0</v>
      </c>
    </row>
    <row r="67" spans="1:6" x14ac:dyDescent="0.25">
      <c r="A67" t="s">
        <v>434</v>
      </c>
      <c r="B67">
        <v>2496</v>
      </c>
      <c r="C67">
        <v>2496</v>
      </c>
      <c r="D67" t="b">
        <f t="shared" si="8"/>
        <v>0</v>
      </c>
    </row>
    <row r="68" spans="1:6" x14ac:dyDescent="0.25">
      <c r="A68" t="s">
        <v>440</v>
      </c>
      <c r="B68">
        <v>251600</v>
      </c>
      <c r="C68">
        <v>125800</v>
      </c>
      <c r="D68" t="b">
        <f t="shared" si="8"/>
        <v>1</v>
      </c>
      <c r="E68">
        <f>C68/B68</f>
        <v>0.5</v>
      </c>
    </row>
    <row r="69" spans="1:6" x14ac:dyDescent="0.25">
      <c r="A69" t="s">
        <v>445</v>
      </c>
      <c r="B69">
        <v>1630.43</v>
      </c>
      <c r="C69">
        <v>1630.43</v>
      </c>
      <c r="D69" t="b">
        <f t="shared" si="8"/>
        <v>0</v>
      </c>
    </row>
    <row r="70" spans="1:6" x14ac:dyDescent="0.25">
      <c r="A70" t="s">
        <v>458</v>
      </c>
      <c r="B70">
        <v>153612.38</v>
      </c>
      <c r="C70">
        <v>153612.38</v>
      </c>
      <c r="D70" t="b">
        <f t="shared" si="8"/>
        <v>0</v>
      </c>
    </row>
    <row r="71" spans="1:6" x14ac:dyDescent="0.25">
      <c r="A71" t="s">
        <v>464</v>
      </c>
      <c r="B71">
        <v>5000</v>
      </c>
      <c r="C71">
        <v>5000</v>
      </c>
      <c r="D71" t="b">
        <f t="shared" si="8"/>
        <v>0</v>
      </c>
    </row>
    <row r="72" spans="1:6" x14ac:dyDescent="0.25">
      <c r="A72" t="s">
        <v>477</v>
      </c>
      <c r="B72">
        <v>17494</v>
      </c>
      <c r="C72">
        <v>17494</v>
      </c>
      <c r="D72" t="b">
        <f t="shared" si="8"/>
        <v>0</v>
      </c>
    </row>
    <row r="73" spans="1:6" x14ac:dyDescent="0.25">
      <c r="A73" t="s">
        <v>482</v>
      </c>
      <c r="B73">
        <v>49.99</v>
      </c>
      <c r="C73">
        <v>49.99</v>
      </c>
      <c r="D73" t="b">
        <f t="shared" si="8"/>
        <v>0</v>
      </c>
    </row>
    <row r="74" spans="1:6" x14ac:dyDescent="0.25">
      <c r="A74" t="s">
        <v>495</v>
      </c>
      <c r="B74">
        <v>255282.7</v>
      </c>
      <c r="C74">
        <v>180000</v>
      </c>
      <c r="D74" t="b">
        <f t="shared" si="8"/>
        <v>1</v>
      </c>
      <c r="E74">
        <f>C74/B74</f>
        <v>0.70510065899491037</v>
      </c>
    </row>
    <row r="75" spans="1:6" x14ac:dyDescent="0.25">
      <c r="A75" t="s">
        <v>502</v>
      </c>
      <c r="B75">
        <v>91998</v>
      </c>
      <c r="C75">
        <v>91998</v>
      </c>
      <c r="D75" t="b">
        <f t="shared" si="8"/>
        <v>0</v>
      </c>
    </row>
    <row r="76" spans="1:6" x14ac:dyDescent="0.25">
      <c r="A76" t="s">
        <v>507</v>
      </c>
      <c r="B76">
        <v>2280</v>
      </c>
      <c r="C76">
        <v>18771.669999999998</v>
      </c>
      <c r="D76" t="b">
        <f t="shared" si="8"/>
        <v>1</v>
      </c>
      <c r="E76">
        <f t="shared" ref="E76:E77" si="9">C76/B76</f>
        <v>8.2331885964912281</v>
      </c>
    </row>
    <row r="77" spans="1:6" x14ac:dyDescent="0.25">
      <c r="A77" t="s">
        <v>832</v>
      </c>
      <c r="B77">
        <v>5985</v>
      </c>
      <c r="C77">
        <v>5985</v>
      </c>
      <c r="D77" t="b">
        <f t="shared" si="8"/>
        <v>0</v>
      </c>
      <c r="E77">
        <f t="shared" si="9"/>
        <v>1</v>
      </c>
      <c r="F77" t="s">
        <v>818</v>
      </c>
    </row>
    <row r="78" spans="1:6" x14ac:dyDescent="0.25">
      <c r="A78" t="s">
        <v>535</v>
      </c>
      <c r="B78">
        <v>24000</v>
      </c>
      <c r="C78">
        <v>24000</v>
      </c>
      <c r="D78" t="b">
        <f t="shared" si="8"/>
        <v>0</v>
      </c>
    </row>
    <row r="79" spans="1:6" x14ac:dyDescent="0.25">
      <c r="A79" t="s">
        <v>546</v>
      </c>
      <c r="B79">
        <v>540</v>
      </c>
      <c r="C79">
        <v>540</v>
      </c>
      <c r="D79" t="b">
        <f t="shared" si="8"/>
        <v>0</v>
      </c>
    </row>
    <row r="80" spans="1:6" x14ac:dyDescent="0.25">
      <c r="A80" t="s">
        <v>553</v>
      </c>
      <c r="B80">
        <v>9000</v>
      </c>
      <c r="C80">
        <v>9000</v>
      </c>
      <c r="D80" t="b">
        <f t="shared" si="8"/>
        <v>0</v>
      </c>
    </row>
    <row r="81" spans="1:6" x14ac:dyDescent="0.25">
      <c r="A81" t="s">
        <v>559</v>
      </c>
      <c r="B81">
        <v>3990</v>
      </c>
      <c r="C81">
        <v>3990</v>
      </c>
      <c r="D81" t="b">
        <f t="shared" si="8"/>
        <v>0</v>
      </c>
    </row>
    <row r="82" spans="1:6" x14ac:dyDescent="0.25">
      <c r="A82" t="s">
        <v>833</v>
      </c>
      <c r="B82">
        <v>24000</v>
      </c>
      <c r="C82">
        <v>24000</v>
      </c>
      <c r="D82" t="b">
        <f t="shared" si="8"/>
        <v>0</v>
      </c>
    </row>
    <row r="83" spans="1:6" x14ac:dyDescent="0.25">
      <c r="A83" t="s">
        <v>834</v>
      </c>
      <c r="B83">
        <v>236113.57</v>
      </c>
      <c r="C83">
        <v>236113.57</v>
      </c>
      <c r="D83" t="b">
        <f t="shared" si="8"/>
        <v>0</v>
      </c>
    </row>
    <row r="84" spans="1:6" x14ac:dyDescent="0.25">
      <c r="A84" t="s">
        <v>572</v>
      </c>
      <c r="B84">
        <v>2265</v>
      </c>
      <c r="C84">
        <v>2265</v>
      </c>
      <c r="D84" t="b">
        <f t="shared" si="8"/>
        <v>0</v>
      </c>
    </row>
    <row r="85" spans="1:6" x14ac:dyDescent="0.25">
      <c r="A85" t="s">
        <v>578</v>
      </c>
      <c r="B85">
        <v>22222.6</v>
      </c>
      <c r="C85">
        <v>22222.6</v>
      </c>
      <c r="D85" t="b">
        <f t="shared" si="8"/>
        <v>0</v>
      </c>
    </row>
    <row r="86" spans="1:6" x14ac:dyDescent="0.25">
      <c r="A86" t="s">
        <v>584</v>
      </c>
      <c r="B86">
        <v>510562.82</v>
      </c>
      <c r="C86">
        <v>369764.77713829197</v>
      </c>
      <c r="D86" t="b">
        <f t="shared" si="8"/>
        <v>1</v>
      </c>
      <c r="E86">
        <f t="shared" ref="E86:E88" si="10">C86/B86</f>
        <v>0.72422973756352249</v>
      </c>
    </row>
    <row r="87" spans="1:6" x14ac:dyDescent="0.25">
      <c r="A87" t="s">
        <v>835</v>
      </c>
      <c r="B87">
        <v>11070</v>
      </c>
      <c r="C87">
        <v>44280</v>
      </c>
      <c r="D87" t="b">
        <f t="shared" si="8"/>
        <v>1</v>
      </c>
      <c r="E87">
        <f t="shared" si="10"/>
        <v>4</v>
      </c>
    </row>
    <row r="88" spans="1:6" x14ac:dyDescent="0.25">
      <c r="A88" t="s">
        <v>589</v>
      </c>
      <c r="B88">
        <v>128900</v>
      </c>
      <c r="C88">
        <v>42966.666666666701</v>
      </c>
      <c r="D88" t="b">
        <f t="shared" si="8"/>
        <v>1</v>
      </c>
      <c r="E88">
        <f t="shared" si="10"/>
        <v>0.33333333333333359</v>
      </c>
    </row>
    <row r="89" spans="1:6" x14ac:dyDescent="0.25">
      <c r="A89" t="s">
        <v>836</v>
      </c>
      <c r="B89">
        <v>19034.04</v>
      </c>
      <c r="C89">
        <v>19034.04</v>
      </c>
      <c r="D89" t="b">
        <f t="shared" si="8"/>
        <v>0</v>
      </c>
    </row>
    <row r="90" spans="1:6" x14ac:dyDescent="0.25">
      <c r="A90" t="s">
        <v>602</v>
      </c>
      <c r="B90">
        <v>35890.400000000001</v>
      </c>
      <c r="C90">
        <v>35890.400000000001</v>
      </c>
      <c r="D90" t="b">
        <f t="shared" si="8"/>
        <v>0</v>
      </c>
    </row>
    <row r="91" spans="1:6" x14ac:dyDescent="0.25">
      <c r="A91" t="s">
        <v>837</v>
      </c>
      <c r="B91">
        <v>36000.01</v>
      </c>
      <c r="C91">
        <v>70000</v>
      </c>
      <c r="D91" t="b">
        <f t="shared" si="8"/>
        <v>1</v>
      </c>
      <c r="E91">
        <f>C91/B91</f>
        <v>1.9444439043211377</v>
      </c>
    </row>
    <row r="92" spans="1:6" x14ac:dyDescent="0.25">
      <c r="A92" t="s">
        <v>608</v>
      </c>
      <c r="B92">
        <v>28399.5</v>
      </c>
      <c r="C92">
        <v>28399.5</v>
      </c>
      <c r="D92" t="b">
        <f t="shared" si="8"/>
        <v>0</v>
      </c>
    </row>
    <row r="93" spans="1:6" x14ac:dyDescent="0.25">
      <c r="A93" t="s">
        <v>838</v>
      </c>
      <c r="B93">
        <v>0</v>
      </c>
      <c r="C93">
        <v>0</v>
      </c>
      <c r="D93" t="b">
        <f t="shared" si="8"/>
        <v>0</v>
      </c>
    </row>
    <row r="94" spans="1:6" x14ac:dyDescent="0.25">
      <c r="A94" t="s">
        <v>839</v>
      </c>
      <c r="B94">
        <v>299</v>
      </c>
      <c r="C94">
        <v>299</v>
      </c>
      <c r="D94" t="b">
        <f t="shared" si="8"/>
        <v>0</v>
      </c>
      <c r="E94">
        <f>C94/B94</f>
        <v>1</v>
      </c>
      <c r="F94" t="s">
        <v>818</v>
      </c>
    </row>
    <row r="95" spans="1:6" x14ac:dyDescent="0.25">
      <c r="A95" t="s">
        <v>614</v>
      </c>
      <c r="B95">
        <v>130800</v>
      </c>
      <c r="C95">
        <v>130800</v>
      </c>
      <c r="D95" t="b">
        <f t="shared" si="8"/>
        <v>0</v>
      </c>
    </row>
    <row r="96" spans="1:6" x14ac:dyDescent="0.25">
      <c r="A96" t="s">
        <v>620</v>
      </c>
      <c r="B96">
        <v>3607414.95</v>
      </c>
      <c r="C96">
        <v>705940.98419639305</v>
      </c>
      <c r="D96" t="b">
        <f t="shared" si="8"/>
        <v>1</v>
      </c>
      <c r="E96">
        <f t="shared" ref="E96:E97" si="11">C96/B96</f>
        <v>0.19569165010983641</v>
      </c>
    </row>
    <row r="97" spans="1:6" x14ac:dyDescent="0.25">
      <c r="A97" t="s">
        <v>627</v>
      </c>
      <c r="B97">
        <v>425175.44</v>
      </c>
      <c r="C97">
        <v>515320.16549400799</v>
      </c>
      <c r="D97" t="b">
        <f t="shared" si="8"/>
        <v>1</v>
      </c>
      <c r="E97">
        <f t="shared" si="11"/>
        <v>1.212017715543513</v>
      </c>
    </row>
    <row r="98" spans="1:6" x14ac:dyDescent="0.25">
      <c r="A98" t="s">
        <v>633</v>
      </c>
      <c r="B98">
        <v>119044.9</v>
      </c>
      <c r="C98">
        <v>119044.9</v>
      </c>
      <c r="D98" t="b">
        <f t="shared" si="8"/>
        <v>0</v>
      </c>
    </row>
    <row r="99" spans="1:6" x14ac:dyDescent="0.25">
      <c r="A99" t="s">
        <v>636</v>
      </c>
      <c r="B99">
        <v>89179.199999999997</v>
      </c>
      <c r="C99">
        <v>89179.199999999997</v>
      </c>
      <c r="D99" t="b">
        <f t="shared" si="8"/>
        <v>0</v>
      </c>
    </row>
    <row r="100" spans="1:6" x14ac:dyDescent="0.25">
      <c r="A100" t="s">
        <v>641</v>
      </c>
      <c r="B100">
        <v>515.6</v>
      </c>
      <c r="C100">
        <v>515.6</v>
      </c>
      <c r="D100" t="b">
        <f t="shared" si="8"/>
        <v>0</v>
      </c>
    </row>
    <row r="101" spans="1:6" x14ac:dyDescent="0.25">
      <c r="A101" t="s">
        <v>647</v>
      </c>
      <c r="B101">
        <v>3566.59</v>
      </c>
      <c r="C101">
        <v>3566.59</v>
      </c>
      <c r="D101" t="b">
        <f t="shared" si="8"/>
        <v>0</v>
      </c>
    </row>
    <row r="102" spans="1:6" x14ac:dyDescent="0.25">
      <c r="A102" t="s">
        <v>653</v>
      </c>
      <c r="B102">
        <v>16462.82</v>
      </c>
      <c r="C102">
        <v>9906.1725432470103</v>
      </c>
      <c r="D102" t="b">
        <f t="shared" si="8"/>
        <v>1</v>
      </c>
      <c r="E102">
        <f t="shared" ref="E102:E104" si="12">C102/B102</f>
        <v>0.60172999177826214</v>
      </c>
    </row>
    <row r="103" spans="1:6" x14ac:dyDescent="0.25">
      <c r="A103" t="s">
        <v>660</v>
      </c>
      <c r="B103">
        <v>940360</v>
      </c>
      <c r="C103">
        <v>470180</v>
      </c>
      <c r="D103" t="b">
        <f t="shared" si="8"/>
        <v>1</v>
      </c>
      <c r="E103">
        <f t="shared" si="12"/>
        <v>0.5</v>
      </c>
    </row>
    <row r="104" spans="1:6" x14ac:dyDescent="0.25">
      <c r="A104" t="s">
        <v>666</v>
      </c>
      <c r="B104">
        <v>292981.25</v>
      </c>
      <c r="C104">
        <v>210855.18641462</v>
      </c>
      <c r="D104" t="b">
        <f t="shared" si="8"/>
        <v>1</v>
      </c>
      <c r="E104">
        <f t="shared" si="12"/>
        <v>0.71968832959317364</v>
      </c>
    </row>
    <row r="105" spans="1:6" x14ac:dyDescent="0.25">
      <c r="A105" t="s">
        <v>669</v>
      </c>
      <c r="B105">
        <v>806000</v>
      </c>
      <c r="C105">
        <v>806000</v>
      </c>
      <c r="D105" t="b">
        <f t="shared" si="8"/>
        <v>0</v>
      </c>
    </row>
    <row r="106" spans="1:6" x14ac:dyDescent="0.25">
      <c r="A106" t="s">
        <v>840</v>
      </c>
      <c r="B106">
        <v>889.64</v>
      </c>
      <c r="C106">
        <v>889.64</v>
      </c>
      <c r="D106" t="b">
        <f t="shared" si="8"/>
        <v>0</v>
      </c>
      <c r="E106">
        <f t="shared" ref="E106:E109" si="13">C106/B106</f>
        <v>1</v>
      </c>
      <c r="F106" t="s">
        <v>818</v>
      </c>
    </row>
    <row r="107" spans="1:6" x14ac:dyDescent="0.25">
      <c r="A107" t="s">
        <v>841</v>
      </c>
      <c r="B107">
        <v>4281.34</v>
      </c>
      <c r="C107">
        <v>4281.34</v>
      </c>
      <c r="D107" t="b">
        <f t="shared" si="8"/>
        <v>0</v>
      </c>
      <c r="E107">
        <f t="shared" si="13"/>
        <v>1</v>
      </c>
      <c r="F107" t="s">
        <v>818</v>
      </c>
    </row>
    <row r="108" spans="1:6" x14ac:dyDescent="0.25">
      <c r="A108" t="s">
        <v>683</v>
      </c>
      <c r="B108">
        <v>959971</v>
      </c>
      <c r="C108">
        <v>319990.33333333302</v>
      </c>
      <c r="D108" t="b">
        <f t="shared" si="8"/>
        <v>1</v>
      </c>
      <c r="E108">
        <f t="shared" si="13"/>
        <v>0.33333333333333304</v>
      </c>
    </row>
    <row r="109" spans="1:6" x14ac:dyDescent="0.25">
      <c r="A109" t="s">
        <v>842</v>
      </c>
      <c r="B109">
        <v>3500</v>
      </c>
      <c r="C109">
        <v>3500</v>
      </c>
      <c r="D109" t="b">
        <f t="shared" si="8"/>
        <v>0</v>
      </c>
      <c r="E109">
        <f t="shared" si="13"/>
        <v>1</v>
      </c>
      <c r="F109" t="s">
        <v>818</v>
      </c>
    </row>
    <row r="110" spans="1:6" x14ac:dyDescent="0.25">
      <c r="A110" t="s">
        <v>843</v>
      </c>
      <c r="B110">
        <v>399.99</v>
      </c>
      <c r="C110">
        <v>399.99</v>
      </c>
      <c r="D110" t="b">
        <f t="shared" si="8"/>
        <v>0</v>
      </c>
    </row>
    <row r="111" spans="1:6" x14ac:dyDescent="0.25">
      <c r="A111" t="s">
        <v>693</v>
      </c>
      <c r="B111">
        <v>14000000</v>
      </c>
      <c r="C111">
        <v>3500000</v>
      </c>
      <c r="D111" t="b">
        <f t="shared" si="8"/>
        <v>1</v>
      </c>
      <c r="E111">
        <f t="shared" ref="E111:E112" si="14">C111/B111</f>
        <v>0.25</v>
      </c>
    </row>
    <row r="112" spans="1:6" x14ac:dyDescent="0.25">
      <c r="A112" t="s">
        <v>698</v>
      </c>
      <c r="B112">
        <v>1300128</v>
      </c>
      <c r="C112">
        <v>433376</v>
      </c>
      <c r="D112" t="b">
        <f t="shared" si="8"/>
        <v>1</v>
      </c>
      <c r="E112">
        <f t="shared" si="14"/>
        <v>0.33333333333333331</v>
      </c>
    </row>
    <row r="113" spans="1:6" x14ac:dyDescent="0.25">
      <c r="A113" t="s">
        <v>707</v>
      </c>
      <c r="B113">
        <v>216500</v>
      </c>
      <c r="C113">
        <v>216500</v>
      </c>
      <c r="D113" t="b">
        <f t="shared" si="8"/>
        <v>0</v>
      </c>
    </row>
    <row r="114" spans="1:6" x14ac:dyDescent="0.25">
      <c r="A114" t="s">
        <v>844</v>
      </c>
      <c r="B114">
        <v>1515847.33</v>
      </c>
      <c r="C114">
        <v>505282.44333333301</v>
      </c>
      <c r="D114" t="b">
        <f t="shared" si="8"/>
        <v>1</v>
      </c>
      <c r="E114">
        <f>C114/B114</f>
        <v>0.33333333333333309</v>
      </c>
    </row>
    <row r="115" spans="1:6" x14ac:dyDescent="0.25">
      <c r="A115" t="s">
        <v>736</v>
      </c>
      <c r="B115">
        <v>4035.35</v>
      </c>
      <c r="C115">
        <v>4035.35</v>
      </c>
      <c r="D115" t="b">
        <f t="shared" si="8"/>
        <v>0</v>
      </c>
    </row>
    <row r="116" spans="1:6" x14ac:dyDescent="0.25">
      <c r="A116" t="s">
        <v>742</v>
      </c>
      <c r="B116">
        <v>1700</v>
      </c>
      <c r="C116">
        <v>41.569364552184901</v>
      </c>
      <c r="D116" t="b">
        <f t="shared" si="8"/>
        <v>1</v>
      </c>
      <c r="E116">
        <f t="shared" ref="E116" si="15">C116/B116</f>
        <v>2.4452567383638178E-2</v>
      </c>
      <c r="F116" t="s">
        <v>818</v>
      </c>
    </row>
    <row r="117" spans="1:6" x14ac:dyDescent="0.25">
      <c r="A117" t="s">
        <v>759</v>
      </c>
      <c r="B117">
        <v>559776</v>
      </c>
      <c r="C117">
        <v>559776</v>
      </c>
      <c r="D117" t="b">
        <f t="shared" si="8"/>
        <v>0</v>
      </c>
    </row>
    <row r="118" spans="1:6" x14ac:dyDescent="0.25">
      <c r="A118" t="s">
        <v>764</v>
      </c>
      <c r="B118">
        <v>34643</v>
      </c>
      <c r="C118">
        <v>34643</v>
      </c>
      <c r="D118" t="b">
        <f t="shared" si="8"/>
        <v>0</v>
      </c>
    </row>
    <row r="119" spans="1:6" x14ac:dyDescent="0.25">
      <c r="A119" t="s">
        <v>845</v>
      </c>
      <c r="B119">
        <v>750</v>
      </c>
      <c r="C119">
        <v>750</v>
      </c>
      <c r="D119" t="b">
        <f t="shared" si="8"/>
        <v>0</v>
      </c>
    </row>
    <row r="120" spans="1:6" x14ac:dyDescent="0.25">
      <c r="A120" t="s">
        <v>846</v>
      </c>
      <c r="B120">
        <v>2370</v>
      </c>
      <c r="C120">
        <v>2370</v>
      </c>
      <c r="D120" t="b">
        <f t="shared" si="8"/>
        <v>0</v>
      </c>
      <c r="E120">
        <f>C120/B120</f>
        <v>1</v>
      </c>
      <c r="F120" t="s">
        <v>818</v>
      </c>
    </row>
    <row r="121" spans="1:6" x14ac:dyDescent="0.25">
      <c r="A121" t="s">
        <v>769</v>
      </c>
      <c r="B121">
        <v>1468</v>
      </c>
      <c r="C121">
        <v>1468</v>
      </c>
      <c r="D121" t="b">
        <f t="shared" si="8"/>
        <v>0</v>
      </c>
    </row>
    <row r="122" spans="1:6" x14ac:dyDescent="0.25">
      <c r="A122" t="s">
        <v>776</v>
      </c>
      <c r="B122">
        <v>1200000</v>
      </c>
      <c r="C122">
        <v>1200000</v>
      </c>
      <c r="D122" t="b">
        <f t="shared" si="8"/>
        <v>0</v>
      </c>
    </row>
    <row r="123" spans="1:6" x14ac:dyDescent="0.25">
      <c r="A123" t="s">
        <v>847</v>
      </c>
      <c r="B123">
        <v>6594438.4199999999</v>
      </c>
      <c r="C123">
        <v>6594438.4199999999</v>
      </c>
      <c r="D123" t="b">
        <f t="shared" ref="D123:D127" si="16">B123&lt;&gt;C123</f>
        <v>0</v>
      </c>
    </row>
    <row r="124" spans="1:6" x14ac:dyDescent="0.25">
      <c r="A124" t="s">
        <v>784</v>
      </c>
      <c r="B124">
        <v>750</v>
      </c>
      <c r="C124">
        <v>750</v>
      </c>
      <c r="D124" t="b">
        <f t="shared" si="16"/>
        <v>0</v>
      </c>
    </row>
    <row r="125" spans="1:6" x14ac:dyDescent="0.25">
      <c r="A125" t="s">
        <v>848</v>
      </c>
      <c r="B125">
        <v>30000</v>
      </c>
      <c r="C125">
        <v>30000</v>
      </c>
      <c r="D125" t="b">
        <f t="shared" si="16"/>
        <v>0</v>
      </c>
      <c r="E125">
        <f>C125/B125</f>
        <v>1</v>
      </c>
      <c r="F125" t="s">
        <v>818</v>
      </c>
    </row>
    <row r="126" spans="1:6" x14ac:dyDescent="0.25">
      <c r="A126" t="s">
        <v>791</v>
      </c>
      <c r="B126">
        <v>102000</v>
      </c>
      <c r="C126">
        <v>102000</v>
      </c>
      <c r="D126" t="b">
        <f t="shared" si="16"/>
        <v>0</v>
      </c>
    </row>
    <row r="127" spans="1:6" x14ac:dyDescent="0.25">
      <c r="A127" t="s">
        <v>802</v>
      </c>
      <c r="B127">
        <v>11196.29</v>
      </c>
      <c r="C127">
        <v>11196.29</v>
      </c>
      <c r="D127" t="b">
        <f t="shared" si="16"/>
        <v>0</v>
      </c>
    </row>
  </sheetData>
  <autoFilter ref="A1:D127" xr:uid="{56BA0E9E-F488-4F23-A2E9-E3CC4B72BBE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query (8)</vt:lpstr>
      <vt:lpstr>Costs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Excel Olatunji</cp:lastModifiedBy>
  <cp:revision/>
  <cp:lastPrinted>2025-06-30T15:22:40Z</cp:lastPrinted>
  <dcterms:created xsi:type="dcterms:W3CDTF">2025-05-02T16:39:07Z</dcterms:created>
  <dcterms:modified xsi:type="dcterms:W3CDTF">2025-06-30T15:43:09Z</dcterms:modified>
  <cp:category/>
  <cp:contentStatus/>
</cp:coreProperties>
</file>